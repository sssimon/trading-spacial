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ciones" sheetId="1" state="visible" r:id="rId3"/>
    <sheet name="Dashboard" sheetId="2" state="visible" r:id="rId4"/>
    <sheet name="Análisis por Activo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<sst xmlns="http://schemas.openxmlformats.org/spreadsheetml/2006/main" count="108" uniqueCount="93">
  <si>
    <t xml:space="preserve">  REGISTRO DE OPERACIONES  |  Spot &amp; Futures</t>
  </si>
  <si>
    <t xml:space="preserve">#</t>
  </si>
  <si>
    <t xml:space="preserve">Fecha
Entrada</t>
  </si>
  <si>
    <t xml:space="preserve">Fecha
Cierre</t>
  </si>
  <si>
    <t xml:space="preserve">Tipo</t>
  </si>
  <si>
    <t xml:space="preserve">Activo</t>
  </si>
  <si>
    <t xml:space="preserve">Dirección</t>
  </si>
  <si>
    <t xml:space="preserve">Apalan-
camiento</t>
  </si>
  <si>
    <t xml:space="preserve">Precio
Entrada ($)</t>
  </si>
  <si>
    <t xml:space="preserve">Precio
Cierre ($)</t>
  </si>
  <si>
    <t xml:space="preserve">Cantidad
(monedas)</t>
  </si>
  <si>
    <t xml:space="preserve">Capital
Invertido ($)</t>
  </si>
  <si>
    <t xml:space="preserve">Com.
Entrada ($)</t>
  </si>
  <si>
    <t xml:space="preserve">Com.
Cierre ($)</t>
  </si>
  <si>
    <t xml:space="preserve">Total
Com. ($)</t>
  </si>
  <si>
    <t xml:space="preserve">PnL
Bruto ($)</t>
  </si>
  <si>
    <t xml:space="preserve">PnL
Neto ($)</t>
  </si>
  <si>
    <t xml:space="preserve">PnL
(%)</t>
  </si>
  <si>
    <t xml:space="preserve">Estado</t>
  </si>
  <si>
    <t xml:space="preserve">Exchange</t>
  </si>
  <si>
    <t xml:space="preserve">Notas</t>
  </si>
  <si>
    <t xml:space="preserve">  CRYPTO TRADING TRACKER  |  Dashboard de Rendimiento</t>
  </si>
  <si>
    <t xml:space="preserve">  Indicadores actualizados automáticamente desde la hoja 'Operaciones'</t>
  </si>
  <si>
    <t xml:space="preserve">  MÉTRICAS PRINCIPALES</t>
  </si>
  <si>
    <t xml:space="preserve">Total Operaciones</t>
  </si>
  <si>
    <t xml:space="preserve">Win Rate</t>
  </si>
  <si>
    <t xml:space="preserve">PnL Neto Total ($)</t>
  </si>
  <si>
    <t xml:space="preserve">Total Comisiones ($)</t>
  </si>
  <si>
    <t xml:space="preserve">Mejor Operación ($)</t>
  </si>
  <si>
    <t xml:space="preserve">Peor Operación ($)</t>
  </si>
  <si>
    <t xml:space="preserve">Retorno Promedio</t>
  </si>
  <si>
    <t xml:space="preserve">Ops. Abiertas</t>
  </si>
  <si>
    <t xml:space="preserve">  ESTADÍSTICAS DETALLADAS</t>
  </si>
  <si>
    <t xml:space="preserve">Operaciones Spot</t>
  </si>
  <si>
    <t xml:space="preserve">Operaciones Futures</t>
  </si>
  <si>
    <t xml:space="preserve">Ops. Cerradas</t>
  </si>
  <si>
    <t xml:space="preserve">Trades Ganadores</t>
  </si>
  <si>
    <t xml:space="preserve">Trades Perdedores</t>
  </si>
  <si>
    <t xml:space="preserve">Capital Total Invertido ($)</t>
  </si>
  <si>
    <t xml:space="preserve">PnL Prom. Ganador ($)</t>
  </si>
  <si>
    <t xml:space="preserve">PnL Prom. Perdedor ($)</t>
  </si>
  <si>
    <t xml:space="preserve">Ratio Ganancia / Pérdida</t>
  </si>
  <si>
    <t xml:space="preserve">Retorno Total (%)</t>
  </si>
  <si>
    <t xml:space="preserve">  ANÁLISIS DE RENDIMIENTO POR ACTIVO &amp; TIPO</t>
  </si>
  <si>
    <t xml:space="preserve">  RENDIMIENTO POR ACTIVO</t>
  </si>
  <si>
    <t xml:space="preserve"># Trades</t>
  </si>
  <si>
    <t xml:space="preserve">PnL Neto ($)</t>
  </si>
  <si>
    <t xml:space="preserve">PnL Prom. ($)</t>
  </si>
  <si>
    <t xml:space="preserve">Mejor Trade</t>
  </si>
  <si>
    <t xml:space="preserve">Peor Trade</t>
  </si>
  <si>
    <t xml:space="preserve">BTC</t>
  </si>
  <si>
    <t xml:space="preserve">ETH</t>
  </si>
  <si>
    <t xml:space="preserve">BNB</t>
  </si>
  <si>
    <t xml:space="preserve">SOL</t>
  </si>
  <si>
    <t xml:space="preserve">XRP</t>
  </si>
  <si>
    <t xml:space="preserve">ADA</t>
  </si>
  <si>
    <t xml:space="preserve">AVAX</t>
  </si>
  <si>
    <t xml:space="preserve">DOGE</t>
  </si>
  <si>
    <t xml:space="preserve">MATIC</t>
  </si>
  <si>
    <t xml:space="preserve">DOT</t>
  </si>
  <si>
    <t xml:space="preserve">Otro</t>
  </si>
  <si>
    <t xml:space="preserve">  RENDIMIENTO: SPOT vs FUTURES</t>
  </si>
  <si>
    <t xml:space="preserve">Spot</t>
  </si>
  <si>
    <t xml:space="preserve">Futures</t>
  </si>
  <si>
    <t xml:space="preserve">  RESUMEN MENSUAL  (ingresa el mes en col. B para ver el PnL)</t>
  </si>
  <si>
    <t xml:space="preserve">Mes/Año</t>
  </si>
  <si>
    <t xml:space="preserve">  GUÍA DE USO — CRYPTO TRADING TRACKER</t>
  </si>
  <si>
    <t xml:space="preserve">CÓMO USAR ESTE ARCHIVO</t>
  </si>
  <si>
    <t xml:space="preserve">1. Ve a la hoja 'Operaciones' para registrar cada trade.</t>
  </si>
  <si>
    <t xml:space="preserve">2. Completa los campos en AZUL — son los únicos que debes editar.</t>
  </si>
  <si>
    <t xml:space="preserve">3. Los campos en NEGRO se calculan automáticamente (no editar).</t>
  </si>
  <si>
    <t xml:space="preserve">4. El Dashboard se actualiza solo con cada operación ingresada.</t>
  </si>
  <si>
    <t xml:space="preserve">5. En 'Análisis por Activo': ingresa fechas (formato fecha) en col. B de Resumen Mensual.</t>
  </si>
  <si>
    <t xml:space="preserve">CAMPOS DE LA HOJA OPERACIONES</t>
  </si>
  <si>
    <t xml:space="preserve">• Fecha Entrada / Fecha Cierre</t>
  </si>
  <si>
    <t xml:space="preserve">• Tipo</t>
  </si>
  <si>
    <t xml:space="preserve">• Activo</t>
  </si>
  <si>
    <t xml:space="preserve">• Dirección</t>
  </si>
  <si>
    <t xml:space="preserve">• Apalancamiento</t>
  </si>
  <si>
    <t xml:space="preserve">• Precio Entrada / Cierre</t>
  </si>
  <si>
    <t xml:space="preserve">• Cantidad</t>
  </si>
  <si>
    <t xml:space="preserve">• Capital Invertido</t>
  </si>
  <si>
    <t xml:space="preserve">• Com. Entrada / Cierre</t>
  </si>
  <si>
    <t xml:space="preserve">• PnL Bruto / Neto</t>
  </si>
  <si>
    <t xml:space="preserve">• PnL%</t>
  </si>
  <si>
    <t xml:space="preserve">• Estado</t>
  </si>
  <si>
    <t xml:space="preserve">CONVENCIÓN DE COLORES (estándar financiero)</t>
  </si>
  <si>
    <t xml:space="preserve">Texto AZUL</t>
  </si>
  <si>
    <t xml:space="preserve">Texto NEGRO</t>
  </si>
  <si>
    <t xml:space="preserve">Texto VERDE</t>
  </si>
  <si>
    <t xml:space="preserve">Fondo VERDE</t>
  </si>
  <si>
    <t xml:space="preserve">Fondo ROJO</t>
  </si>
  <si>
    <t xml:space="preserve">Fondo ÁMBAR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</si>
</sst>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dd/mm/yyyy"/>
    <numFmt numFmtId="166" formatCode="0\x"/>
    <numFmt numFmtId="167" formatCode="\$#,##0.0000"/>
    <numFmt numFmtId="168" formatCode="#,##0.00000000"/>
    <numFmt numFmtId="169" formatCode="\$#,##0.00"/>
    <numFmt numFmtId="170" formatCode="\$#,##0.00;&quot;($&quot;#,##0.00\);\-"/>
    <numFmt numFmtId="171" formatCode="0.00%;\(0.00%\);\-"/>
    <numFmt numFmtId="172" formatCode="#,##0"/>
    <numFmt numFmtId="173" formatCode="0.0%"/>
    <numFmt numFmtId="174" formatCode="\$#,##0.00;\-"/>
    <numFmt numFmtId="175" formatCode="\$#,##0.00;&quot;($&quot;#,##0.00\)"/>
    <numFmt numFmtId="176" formatCode="0.00\x"/>
    <numFmt numFmtId="177" formatCode="0.00%;\(0.00%\)"/>
    <numFmt numFmtId="178" formatCode="mmm\-yy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9"/>
      <color rgb="FF93C5F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93C5FD"/>
      <name val="Arial"/>
      <family val="0"/>
      <charset val="1"/>
    </font>
    <font>
      <b val="true"/>
      <sz val="20"/>
      <color rgb="FF008000"/>
      <name val="Arial"/>
      <family val="0"/>
      <charset val="1"/>
    </font>
    <font>
      <b val="true"/>
      <sz val="20"/>
      <color rgb="FF065F46"/>
      <name val="Arial"/>
      <family val="0"/>
      <charset val="1"/>
    </font>
    <font>
      <b val="true"/>
      <sz val="20"/>
      <color rgb="FF991B1B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65F46"/>
      <name val="Arial"/>
      <family val="0"/>
      <charset val="1"/>
    </font>
    <font>
      <sz val="10"/>
      <color rgb="FF991B1B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92400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0A1628"/>
      </patternFill>
    </fill>
    <fill>
      <patternFill patternType="solid">
        <fgColor rgb="FF2255A0"/>
        <bgColor rgb="FF475569"/>
      </patternFill>
    </fill>
    <fill>
      <patternFill patternType="solid">
        <fgColor rgb="FFF0F7FF"/>
        <bgColor rgb="FFFFFFFF"/>
      </patternFill>
    </fill>
    <fill>
      <patternFill patternType="solid">
        <fgColor rgb="FFFFFFFF"/>
        <bgColor rgb="FFF0F7FF"/>
      </patternFill>
    </fill>
    <fill>
      <patternFill patternType="solid">
        <fgColor rgb="FF1A3A5C"/>
        <bgColor rgb="FF1E3A5F"/>
      </patternFill>
    </fill>
    <fill>
      <patternFill patternType="solid">
        <fgColor rgb="FF0A1628"/>
        <bgColor rgb="FF0D1B2A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65F46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A1628"/>
      <rgbColor rgb="FF808000"/>
      <rgbColor rgb="FF800080"/>
      <rgbColor rgb="FF006B3C"/>
      <rgbColor rgb="FFC0C0C0"/>
      <rgbColor rgb="FF808080"/>
      <rgbColor rgb="FF9999FF"/>
      <rgbColor rgb="FF993366"/>
      <rgbColor rgb="FFFEF3C7"/>
      <rgbColor rgb="FFF0F7FF"/>
      <rgbColor rgb="FF660066"/>
      <rgbColor rgb="FFFF8080"/>
      <rgbColor rgb="FF2255A0"/>
      <rgbColor rgb="FFCBD5E1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D1FAE5"/>
      <rgbColor rgb="FFFFFF99"/>
      <rgbColor rgb="FF93C5FD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A3A5C"/>
      <rgbColor rgb="FF339966"/>
      <rgbColor rgb="FF0D1B2A"/>
      <rgbColor rgb="FF333300"/>
      <rgbColor rgb="FF92400E"/>
      <rgbColor rgb="FF993366"/>
      <rgbColor rgb="FF475569"/>
      <rgbColor rgb="FF1E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T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3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4" min="12" style="0" width="13"/>
    <col collapsed="false" customWidth="true" hidden="false" outlineLevel="0" max="16" min="15" style="0" width="14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14"/>
    <col collapsed="false" customWidth="true" hidden="false" outlineLevel="0" max="20" min="20" style="0" width="22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7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18" hidden="false" customHeight="true" outlineLevel="0" collapsed="false">
      <c r="A3" s="3" t="str">
        <f aca="false">IF(B3&lt;&gt;"",ROW()-2,"")</f>
        <v/>
      </c>
      <c r="B3" s="4"/>
      <c r="C3" s="4"/>
      <c r="D3" s="5"/>
      <c r="E3" s="6"/>
      <c r="F3" s="5"/>
      <c r="G3" s="7"/>
      <c r="H3" s="8"/>
      <c r="I3" s="8"/>
      <c r="J3" s="9"/>
      <c r="K3" s="10" t="str">
        <f aca="false">IF(H3*J3=0,"",H3*J3)</f>
        <v/>
      </c>
      <c r="L3" s="11"/>
      <c r="M3" s="11"/>
      <c r="N3" s="10" t="str">
        <f aca="false">IF(L3+M3=0,"",L3+M3)</f>
        <v/>
      </c>
      <c r="O3" s="12" t="str">
        <f aca="false">IF(OR(H3="",I3="",J3=""),"",IF(F3="Long",(I3-H3)*J3*IF(G3="",1,G3),(H3-I3)*J3*IF(G3="",1,G3)))</f>
        <v/>
      </c>
      <c r="P3" s="13" t="str">
        <f aca="false">IF(O3="","",O3-IF(N3="",0,N3))</f>
        <v/>
      </c>
      <c r="Q3" s="14" t="str">
        <f aca="false">IFERROR(IF(P3="","",P3/K3),"")</f>
        <v/>
      </c>
      <c r="R3" s="6"/>
      <c r="S3" s="5"/>
      <c r="T3" s="15"/>
    </row>
    <row r="4" customFormat="false" ht="18" hidden="false" customHeight="true" outlineLevel="0" collapsed="false">
      <c r="A4" s="16" t="str">
        <f aca="false">IF(B4&lt;&gt;"",ROW()-2,"")</f>
        <v/>
      </c>
      <c r="B4" s="17"/>
      <c r="C4" s="17"/>
      <c r="D4" s="18"/>
      <c r="E4" s="19"/>
      <c r="F4" s="18"/>
      <c r="G4" s="20"/>
      <c r="H4" s="21"/>
      <c r="I4" s="21"/>
      <c r="J4" s="22"/>
      <c r="K4" s="23" t="str">
        <f aca="false">IF(H4*J4=0,"",H4*J4)</f>
        <v/>
      </c>
      <c r="L4" s="24"/>
      <c r="M4" s="24"/>
      <c r="N4" s="23" t="str">
        <f aca="false">IF(L4+M4=0,"",L4+M4)</f>
        <v/>
      </c>
      <c r="O4" s="25" t="str">
        <f aca="false">IF(OR(H4="",I4="",J4=""),"",IF(F4="Long",(I4-H4)*J4*IF(G4="",1,G4),(H4-I4)*J4*IF(G4="",1,G4)))</f>
        <v/>
      </c>
      <c r="P4" s="26" t="str">
        <f aca="false">IF(O4="","",O4-IF(N4="",0,N4))</f>
        <v/>
      </c>
      <c r="Q4" s="27" t="str">
        <f aca="false">IFERROR(IF(P4="","",P4/K4),"")</f>
        <v/>
      </c>
      <c r="R4" s="19"/>
      <c r="S4" s="18"/>
      <c r="T4" s="28"/>
    </row>
    <row r="5" customFormat="false" ht="18" hidden="false" customHeight="true" outlineLevel="0" collapsed="false">
      <c r="A5" s="3" t="str">
        <f aca="false">IF(B5&lt;&gt;"",ROW()-2,"")</f>
        <v/>
      </c>
      <c r="B5" s="4"/>
      <c r="C5" s="4"/>
      <c r="D5" s="5"/>
      <c r="E5" s="6"/>
      <c r="F5" s="5"/>
      <c r="G5" s="7"/>
      <c r="H5" s="8"/>
      <c r="I5" s="8"/>
      <c r="J5" s="9"/>
      <c r="K5" s="10" t="str">
        <f aca="false">IF(H5*J5=0,"",H5*J5)</f>
        <v/>
      </c>
      <c r="L5" s="11"/>
      <c r="M5" s="11"/>
      <c r="N5" s="10" t="str">
        <f aca="false">IF(L5+M5=0,"",L5+M5)</f>
        <v/>
      </c>
      <c r="O5" s="12" t="str">
        <f aca="false">IF(OR(H5="",I5="",J5=""),"",IF(F5="Long",(I5-H5)*J5*IF(G5="",1,G5),(H5-I5)*J5*IF(G5="",1,G5)))</f>
        <v/>
      </c>
      <c r="P5" s="13" t="str">
        <f aca="false">IF(O5="","",O5-IF(N5="",0,N5))</f>
        <v/>
      </c>
      <c r="Q5" s="14" t="str">
        <f aca="false">IFERROR(IF(P5="","",P5/K5),"")</f>
        <v/>
      </c>
      <c r="R5" s="6"/>
      <c r="S5" s="5"/>
      <c r="T5" s="15"/>
    </row>
    <row r="6" customFormat="false" ht="18" hidden="false" customHeight="true" outlineLevel="0" collapsed="false">
      <c r="A6" s="16" t="str">
        <f aca="false">IF(B6&lt;&gt;"",ROW()-2,"")</f>
        <v/>
      </c>
      <c r="B6" s="17"/>
      <c r="C6" s="17"/>
      <c r="D6" s="18"/>
      <c r="E6" s="19"/>
      <c r="F6" s="18"/>
      <c r="G6" s="20"/>
      <c r="H6" s="21"/>
      <c r="I6" s="21"/>
      <c r="J6" s="22"/>
      <c r="K6" s="23" t="str">
        <f aca="false">IF(H6*J6=0,"",H6*J6)</f>
        <v/>
      </c>
      <c r="L6" s="24"/>
      <c r="M6" s="24"/>
      <c r="N6" s="23" t="str">
        <f aca="false">IF(L6+M6=0,"",L6+M6)</f>
        <v/>
      </c>
      <c r="O6" s="25" t="str">
        <f aca="false">IF(OR(H6="",I6="",J6=""),"",IF(F6="Long",(I6-H6)*J6*IF(G6="",1,G6),(H6-I6)*J6*IF(G6="",1,G6)))</f>
        <v/>
      </c>
      <c r="P6" s="26" t="str">
        <f aca="false">IF(O6="","",O6-IF(N6="",0,N6))</f>
        <v/>
      </c>
      <c r="Q6" s="27" t="str">
        <f aca="false">IFERROR(IF(P6="","",P6/K6),"")</f>
        <v/>
      </c>
      <c r="R6" s="19"/>
      <c r="S6" s="18"/>
      <c r="T6" s="28"/>
    </row>
    <row r="7" customFormat="false" ht="18" hidden="false" customHeight="true" outlineLevel="0" collapsed="false">
      <c r="A7" s="3" t="str">
        <f aca="false">IF(B7&lt;&gt;"",ROW()-2,"")</f>
        <v/>
      </c>
      <c r="B7" s="4"/>
      <c r="C7" s="4"/>
      <c r="D7" s="5"/>
      <c r="E7" s="6"/>
      <c r="F7" s="5"/>
      <c r="G7" s="7"/>
      <c r="H7" s="8"/>
      <c r="I7" s="8"/>
      <c r="J7" s="9"/>
      <c r="K7" s="10" t="str">
        <f aca="false">IF(H7*J7=0,"",H7*J7)</f>
        <v/>
      </c>
      <c r="L7" s="11"/>
      <c r="M7" s="11"/>
      <c r="N7" s="10" t="str">
        <f aca="false">IF(L7+M7=0,"",L7+M7)</f>
        <v/>
      </c>
      <c r="O7" s="12" t="str">
        <f aca="false">IF(OR(H7="",I7="",J7=""),"",IF(F7="Long",(I7-H7)*J7*IF(G7="",1,G7),(H7-I7)*J7*IF(G7="",1,G7)))</f>
        <v/>
      </c>
      <c r="P7" s="13" t="str">
        <f aca="false">IF(O7="","",O7-IF(N7="",0,N7))</f>
        <v/>
      </c>
      <c r="Q7" s="14" t="str">
        <f aca="false">IFERROR(IF(P7="","",P7/K7),"")</f>
        <v/>
      </c>
      <c r="R7" s="6"/>
      <c r="S7" s="5"/>
      <c r="T7" s="15"/>
    </row>
    <row r="8" customFormat="false" ht="18" hidden="false" customHeight="true" outlineLevel="0" collapsed="false">
      <c r="A8" s="16" t="str">
        <f aca="false">IF(B8&lt;&gt;"",ROW()-2,"")</f>
        <v/>
      </c>
      <c r="B8" s="17"/>
      <c r="C8" s="17"/>
      <c r="D8" s="18"/>
      <c r="E8" s="19"/>
      <c r="F8" s="18"/>
      <c r="G8" s="20"/>
      <c r="H8" s="21"/>
      <c r="I8" s="21"/>
      <c r="J8" s="22"/>
      <c r="K8" s="23" t="str">
        <f aca="false">IF(H8*J8=0,"",H8*J8)</f>
        <v/>
      </c>
      <c r="L8" s="24"/>
      <c r="M8" s="24"/>
      <c r="N8" s="23" t="str">
        <f aca="false">IF(L8+M8=0,"",L8+M8)</f>
        <v/>
      </c>
      <c r="O8" s="25" t="str">
        <f aca="false">IF(OR(H8="",I8="",J8=""),"",IF(F8="Long",(I8-H8)*J8*IF(G8="",1,G8),(H8-I8)*J8*IF(G8="",1,G8)))</f>
        <v/>
      </c>
      <c r="P8" s="26" t="str">
        <f aca="false">IF(O8="","",O8-IF(N8="",0,N8))</f>
        <v/>
      </c>
      <c r="Q8" s="27" t="str">
        <f aca="false">IFERROR(IF(P8="","",P8/K8),"")</f>
        <v/>
      </c>
      <c r="R8" s="19"/>
      <c r="S8" s="18"/>
      <c r="T8" s="28"/>
    </row>
    <row r="9" customFormat="false" ht="18" hidden="false" customHeight="true" outlineLevel="0" collapsed="false">
      <c r="A9" s="3" t="str">
        <f aca="false">IF(B9&lt;&gt;"",ROW()-2,"")</f>
        <v/>
      </c>
      <c r="B9" s="4"/>
      <c r="C9" s="4"/>
      <c r="D9" s="5"/>
      <c r="E9" s="6"/>
      <c r="F9" s="5"/>
      <c r="G9" s="7"/>
      <c r="H9" s="8"/>
      <c r="I9" s="8"/>
      <c r="J9" s="9"/>
      <c r="K9" s="10" t="str">
        <f aca="false">IF(H9*J9=0,"",H9*J9)</f>
        <v/>
      </c>
      <c r="L9" s="11"/>
      <c r="M9" s="11"/>
      <c r="N9" s="10" t="str">
        <f aca="false">IF(L9+M9=0,"",L9+M9)</f>
        <v/>
      </c>
      <c r="O9" s="12" t="str">
        <f aca="false">IF(OR(H9="",I9="",J9=""),"",IF(F9="Long",(I9-H9)*J9*IF(G9="",1,G9),(H9-I9)*J9*IF(G9="",1,G9)))</f>
        <v/>
      </c>
      <c r="P9" s="13" t="str">
        <f aca="false">IF(O9="","",O9-IF(N9="",0,N9))</f>
        <v/>
      </c>
      <c r="Q9" s="14" t="str">
        <f aca="false">IFERROR(IF(P9="","",P9/K9),"")</f>
        <v/>
      </c>
      <c r="R9" s="6"/>
      <c r="S9" s="5"/>
      <c r="T9" s="15"/>
    </row>
    <row r="10" customFormat="false" ht="18" hidden="false" customHeight="true" outlineLevel="0" collapsed="false">
      <c r="A10" s="16" t="str">
        <f aca="false">IF(B10&lt;&gt;"",ROW()-2,"")</f>
        <v/>
      </c>
      <c r="B10" s="17"/>
      <c r="C10" s="17"/>
      <c r="D10" s="18"/>
      <c r="E10" s="19"/>
      <c r="F10" s="18"/>
      <c r="G10" s="20"/>
      <c r="H10" s="21"/>
      <c r="I10" s="21"/>
      <c r="J10" s="22"/>
      <c r="K10" s="23" t="str">
        <f aca="false">IF(H10*J10=0,"",H10*J10)</f>
        <v/>
      </c>
      <c r="L10" s="24"/>
      <c r="M10" s="24"/>
      <c r="N10" s="23" t="str">
        <f aca="false">IF(L10+M10=0,"",L10+M10)</f>
        <v/>
      </c>
      <c r="O10" s="25" t="str">
        <f aca="false">IF(OR(H10="",I10="",J10=""),"",IF(F10="Long",(I10-H10)*J10*IF(G10="",1,G10),(H10-I10)*J10*IF(G10="",1,G10)))</f>
        <v/>
      </c>
      <c r="P10" s="26" t="str">
        <f aca="false">IF(O10="","",O10-IF(N10="",0,N10))</f>
        <v/>
      </c>
      <c r="Q10" s="27" t="str">
        <f aca="false">IFERROR(IF(P10="","",P10/K10),"")</f>
        <v/>
      </c>
      <c r="R10" s="19"/>
      <c r="S10" s="18"/>
      <c r="T10" s="28"/>
    </row>
    <row r="11" customFormat="false" ht="18" hidden="false" customHeight="true" outlineLevel="0" collapsed="false">
      <c r="A11" s="3" t="str">
        <f aca="false">IF(B11&lt;&gt;"",ROW()-2,"")</f>
        <v/>
      </c>
      <c r="B11" s="4"/>
      <c r="C11" s="4"/>
      <c r="D11" s="5"/>
      <c r="E11" s="6"/>
      <c r="F11" s="5"/>
      <c r="G11" s="7"/>
      <c r="H11" s="8"/>
      <c r="I11" s="8"/>
      <c r="J11" s="9"/>
      <c r="K11" s="10" t="str">
        <f aca="false">IF(H11*J11=0,"",H11*J11)</f>
        <v/>
      </c>
      <c r="L11" s="11"/>
      <c r="M11" s="11"/>
      <c r="N11" s="10" t="str">
        <f aca="false">IF(L11+M11=0,"",L11+M11)</f>
        <v/>
      </c>
      <c r="O11" s="12" t="str">
        <f aca="false">IF(OR(H11="",I11="",J11=""),"",IF(F11="Long",(I11-H11)*J11*IF(G11="",1,G11),(H11-I11)*J11*IF(G11="",1,G11)))</f>
        <v/>
      </c>
      <c r="P11" s="13" t="str">
        <f aca="false">IF(O11="","",O11-IF(N11="",0,N11))</f>
        <v/>
      </c>
      <c r="Q11" s="14" t="str">
        <f aca="false">IFERROR(IF(P11="","",P11/K11),"")</f>
        <v/>
      </c>
      <c r="R11" s="6"/>
      <c r="S11" s="5"/>
      <c r="T11" s="15"/>
    </row>
    <row r="12" customFormat="false" ht="18" hidden="false" customHeight="true" outlineLevel="0" collapsed="false">
      <c r="A12" s="16" t="str">
        <f aca="false">IF(B12&lt;&gt;"",ROW()-2,"")</f>
        <v/>
      </c>
      <c r="B12" s="17"/>
      <c r="C12" s="17"/>
      <c r="D12" s="18"/>
      <c r="E12" s="19"/>
      <c r="F12" s="18"/>
      <c r="G12" s="20"/>
      <c r="H12" s="21"/>
      <c r="I12" s="21"/>
      <c r="J12" s="22"/>
      <c r="K12" s="23" t="str">
        <f aca="false">IF(H12*J12=0,"",H12*J12)</f>
        <v/>
      </c>
      <c r="L12" s="24"/>
      <c r="M12" s="24"/>
      <c r="N12" s="23" t="str">
        <f aca="false">IF(L12+M12=0,"",L12+M12)</f>
        <v/>
      </c>
      <c r="O12" s="25" t="str">
        <f aca="false">IF(OR(H12="",I12="",J12=""),"",IF(F12="Long",(I12-H12)*J12*IF(G12="",1,G12),(H12-I12)*J12*IF(G12="",1,G12)))</f>
        <v/>
      </c>
      <c r="P12" s="26" t="str">
        <f aca="false">IF(O12="","",O12-IF(N12="",0,N12))</f>
        <v/>
      </c>
      <c r="Q12" s="27" t="str">
        <f aca="false">IFERROR(IF(P12="","",P12/K12),"")</f>
        <v/>
      </c>
      <c r="R12" s="19"/>
      <c r="S12" s="18"/>
      <c r="T12" s="28"/>
    </row>
    <row r="13" customFormat="false" ht="18" hidden="false" customHeight="true" outlineLevel="0" collapsed="false">
      <c r="A13" s="3" t="str">
        <f aca="false">IF(B13&lt;&gt;"",ROW()-2,"")</f>
        <v/>
      </c>
      <c r="B13" s="4"/>
      <c r="C13" s="4"/>
      <c r="D13" s="5"/>
      <c r="E13" s="6"/>
      <c r="F13" s="5"/>
      <c r="G13" s="7"/>
      <c r="H13" s="8"/>
      <c r="I13" s="8"/>
      <c r="J13" s="9"/>
      <c r="K13" s="10" t="str">
        <f aca="false">IF(H13*J13=0,"",H13*J13)</f>
        <v/>
      </c>
      <c r="L13" s="11"/>
      <c r="M13" s="11"/>
      <c r="N13" s="10" t="str">
        <f aca="false">IF(L13+M13=0,"",L13+M13)</f>
        <v/>
      </c>
      <c r="O13" s="12" t="str">
        <f aca="false">IF(OR(H13="",I13="",J13=""),"",IF(F13="Long",(I13-H13)*J13*IF(G13="",1,G13),(H13-I13)*J13*IF(G13="",1,G13)))</f>
        <v/>
      </c>
      <c r="P13" s="13" t="str">
        <f aca="false">IF(O13="","",O13-IF(N13="",0,N13))</f>
        <v/>
      </c>
      <c r="Q13" s="14" t="str">
        <f aca="false">IFERROR(IF(P13="","",P13/K13),"")</f>
        <v/>
      </c>
      <c r="R13" s="6"/>
      <c r="S13" s="5"/>
      <c r="T13" s="15"/>
    </row>
    <row r="14" customFormat="false" ht="18" hidden="false" customHeight="true" outlineLevel="0" collapsed="false">
      <c r="A14" s="16" t="str">
        <f aca="false">IF(B14&lt;&gt;"",ROW()-2,"")</f>
        <v/>
      </c>
      <c r="B14" s="17"/>
      <c r="C14" s="17"/>
      <c r="D14" s="18"/>
      <c r="E14" s="19"/>
      <c r="F14" s="18"/>
      <c r="G14" s="20"/>
      <c r="H14" s="21"/>
      <c r="I14" s="21"/>
      <c r="J14" s="22"/>
      <c r="K14" s="23" t="str">
        <f aca="false">IF(H14*J14=0,"",H14*J14)</f>
        <v/>
      </c>
      <c r="L14" s="24"/>
      <c r="M14" s="24"/>
      <c r="N14" s="23" t="str">
        <f aca="false">IF(L14+M14=0,"",L14+M14)</f>
        <v/>
      </c>
      <c r="O14" s="25" t="str">
        <f aca="false">IF(OR(H14="",I14="",J14=""),"",IF(F14="Long",(I14-H14)*J14*IF(G14="",1,G14),(H14-I14)*J14*IF(G14="",1,G14)))</f>
        <v/>
      </c>
      <c r="P14" s="26" t="str">
        <f aca="false">IF(O14="","",O14-IF(N14="",0,N14))</f>
        <v/>
      </c>
      <c r="Q14" s="27" t="str">
        <f aca="false">IFERROR(IF(P14="","",P14/K14),"")</f>
        <v/>
      </c>
      <c r="R14" s="19"/>
      <c r="S14" s="18"/>
      <c r="T14" s="28"/>
    </row>
    <row r="15" customFormat="false" ht="18" hidden="false" customHeight="true" outlineLevel="0" collapsed="false">
      <c r="A15" s="3" t="str">
        <f aca="false">IF(B15&lt;&gt;"",ROW()-2,"")</f>
        <v/>
      </c>
      <c r="B15" s="4"/>
      <c r="C15" s="4"/>
      <c r="D15" s="5"/>
      <c r="E15" s="6"/>
      <c r="F15" s="5"/>
      <c r="G15" s="7"/>
      <c r="H15" s="8"/>
      <c r="I15" s="8"/>
      <c r="J15" s="9"/>
      <c r="K15" s="10" t="str">
        <f aca="false">IF(H15*J15=0,"",H15*J15)</f>
        <v/>
      </c>
      <c r="L15" s="11"/>
      <c r="M15" s="11"/>
      <c r="N15" s="10" t="str">
        <f aca="false">IF(L15+M15=0,"",L15+M15)</f>
        <v/>
      </c>
      <c r="O15" s="12" t="str">
        <f aca="false">IF(OR(H15="",I15="",J15=""),"",IF(F15="Long",(I15-H15)*J15*IF(G15="",1,G15),(H15-I15)*J15*IF(G15="",1,G15)))</f>
        <v/>
      </c>
      <c r="P15" s="13" t="str">
        <f aca="false">IF(O15="","",O15-IF(N15="",0,N15))</f>
        <v/>
      </c>
      <c r="Q15" s="14" t="str">
        <f aca="false">IFERROR(IF(P15="","",P15/K15),"")</f>
        <v/>
      </c>
      <c r="R15" s="6"/>
      <c r="S15" s="5"/>
      <c r="T15" s="15"/>
    </row>
    <row r="16" customFormat="false" ht="18" hidden="false" customHeight="true" outlineLevel="0" collapsed="false">
      <c r="A16" s="16" t="str">
        <f aca="false">IF(B16&lt;&gt;"",ROW()-2,"")</f>
        <v/>
      </c>
      <c r="B16" s="17"/>
      <c r="C16" s="17"/>
      <c r="D16" s="18"/>
      <c r="E16" s="19"/>
      <c r="F16" s="18"/>
      <c r="G16" s="20"/>
      <c r="H16" s="21"/>
      <c r="I16" s="21"/>
      <c r="J16" s="22"/>
      <c r="K16" s="23" t="str">
        <f aca="false">IF(H16*J16=0,"",H16*J16)</f>
        <v/>
      </c>
      <c r="L16" s="24"/>
      <c r="M16" s="24"/>
      <c r="N16" s="23" t="str">
        <f aca="false">IF(L16+M16=0,"",L16+M16)</f>
        <v/>
      </c>
      <c r="O16" s="25" t="str">
        <f aca="false">IF(OR(H16="",I16="",J16=""),"",IF(F16="Long",(I16-H16)*J16*IF(G16="",1,G16),(H16-I16)*J16*IF(G16="",1,G16)))</f>
        <v/>
      </c>
      <c r="P16" s="26" t="str">
        <f aca="false">IF(O16="","",O16-IF(N16="",0,N16))</f>
        <v/>
      </c>
      <c r="Q16" s="27" t="str">
        <f aca="false">IFERROR(IF(P16="","",P16/K16),"")</f>
        <v/>
      </c>
      <c r="R16" s="19"/>
      <c r="S16" s="18"/>
      <c r="T16" s="28"/>
    </row>
    <row r="17" customFormat="false" ht="18" hidden="false" customHeight="true" outlineLevel="0" collapsed="false">
      <c r="A17" s="3" t="str">
        <f aca="false">IF(B17&lt;&gt;"",ROW()-2,"")</f>
        <v/>
      </c>
      <c r="B17" s="4"/>
      <c r="C17" s="4"/>
      <c r="D17" s="5"/>
      <c r="E17" s="6"/>
      <c r="F17" s="5"/>
      <c r="G17" s="7"/>
      <c r="H17" s="8"/>
      <c r="I17" s="8"/>
      <c r="J17" s="9"/>
      <c r="K17" s="10" t="str">
        <f aca="false">IF(H17*J17=0,"",H17*J17)</f>
        <v/>
      </c>
      <c r="L17" s="11"/>
      <c r="M17" s="11"/>
      <c r="N17" s="10" t="str">
        <f aca="false">IF(L17+M17=0,"",L17+M17)</f>
        <v/>
      </c>
      <c r="O17" s="12" t="str">
        <f aca="false">IF(OR(H17="",I17="",J17=""),"",IF(F17="Long",(I17-H17)*J17*IF(G17="",1,G17),(H17-I17)*J17*IF(G17="",1,G17)))</f>
        <v/>
      </c>
      <c r="P17" s="13" t="str">
        <f aca="false">IF(O17="","",O17-IF(N17="",0,N17))</f>
        <v/>
      </c>
      <c r="Q17" s="14" t="str">
        <f aca="false">IFERROR(IF(P17="","",P17/K17),"")</f>
        <v/>
      </c>
      <c r="R17" s="6"/>
      <c r="S17" s="5"/>
      <c r="T17" s="15"/>
    </row>
    <row r="18" customFormat="false" ht="18" hidden="false" customHeight="true" outlineLevel="0" collapsed="false">
      <c r="A18" s="16" t="str">
        <f aca="false">IF(B18&lt;&gt;"",ROW()-2,"")</f>
        <v/>
      </c>
      <c r="B18" s="17"/>
      <c r="C18" s="17"/>
      <c r="D18" s="18"/>
      <c r="E18" s="19"/>
      <c r="F18" s="18"/>
      <c r="G18" s="20"/>
      <c r="H18" s="21"/>
      <c r="I18" s="21"/>
      <c r="J18" s="22"/>
      <c r="K18" s="23" t="str">
        <f aca="false">IF(H18*J18=0,"",H18*J18)</f>
        <v/>
      </c>
      <c r="L18" s="24"/>
      <c r="M18" s="24"/>
      <c r="N18" s="23" t="str">
        <f aca="false">IF(L18+M18=0,"",L18+M18)</f>
        <v/>
      </c>
      <c r="O18" s="25" t="str">
        <f aca="false">IF(OR(H18="",I18="",J18=""),"",IF(F18="Long",(I18-H18)*J18*IF(G18="",1,G18),(H18-I18)*J18*IF(G18="",1,G18)))</f>
        <v/>
      </c>
      <c r="P18" s="26" t="str">
        <f aca="false">IF(O18="","",O18-IF(N18="",0,N18))</f>
        <v/>
      </c>
      <c r="Q18" s="27" t="str">
        <f aca="false">IFERROR(IF(P18="","",P18/K18),"")</f>
        <v/>
      </c>
      <c r="R18" s="19"/>
      <c r="S18" s="18"/>
      <c r="T18" s="28"/>
    </row>
    <row r="19" customFormat="false" ht="18" hidden="false" customHeight="true" outlineLevel="0" collapsed="false">
      <c r="A19" s="3" t="str">
        <f aca="false">IF(B19&lt;&gt;"",ROW()-2,"")</f>
        <v/>
      </c>
      <c r="B19" s="4"/>
      <c r="C19" s="4"/>
      <c r="D19" s="5"/>
      <c r="E19" s="6"/>
      <c r="F19" s="5"/>
      <c r="G19" s="7"/>
      <c r="H19" s="8"/>
      <c r="I19" s="8"/>
      <c r="J19" s="9"/>
      <c r="K19" s="10" t="str">
        <f aca="false">IF(H19*J19=0,"",H19*J19)</f>
        <v/>
      </c>
      <c r="L19" s="11"/>
      <c r="M19" s="11"/>
      <c r="N19" s="10" t="str">
        <f aca="false">IF(L19+M19=0,"",L19+M19)</f>
        <v/>
      </c>
      <c r="O19" s="12" t="str">
        <f aca="false">IF(OR(H19="",I19="",J19=""),"",IF(F19="Long",(I19-H19)*J19*IF(G19="",1,G19),(H19-I19)*J19*IF(G19="",1,G19)))</f>
        <v/>
      </c>
      <c r="P19" s="13" t="str">
        <f aca="false">IF(O19="","",O19-IF(N19="",0,N19))</f>
        <v/>
      </c>
      <c r="Q19" s="14" t="str">
        <f aca="false">IFERROR(IF(P19="","",P19/K19),"")</f>
        <v/>
      </c>
      <c r="R19" s="6"/>
      <c r="S19" s="5"/>
      <c r="T19" s="15"/>
    </row>
    <row r="20" customFormat="false" ht="18" hidden="false" customHeight="true" outlineLevel="0" collapsed="false">
      <c r="A20" s="16" t="str">
        <f aca="false">IF(B20&lt;&gt;"",ROW()-2,"")</f>
        <v/>
      </c>
      <c r="B20" s="17"/>
      <c r="C20" s="17"/>
      <c r="D20" s="18"/>
      <c r="E20" s="19"/>
      <c r="F20" s="18"/>
      <c r="G20" s="20"/>
      <c r="H20" s="21"/>
      <c r="I20" s="21"/>
      <c r="J20" s="22"/>
      <c r="K20" s="23" t="str">
        <f aca="false">IF(H20*J20=0,"",H20*J20)</f>
        <v/>
      </c>
      <c r="L20" s="24"/>
      <c r="M20" s="24"/>
      <c r="N20" s="23" t="str">
        <f aca="false">IF(L20+M20=0,"",L20+M20)</f>
        <v/>
      </c>
      <c r="O20" s="25" t="str">
        <f aca="false">IF(OR(H20="",I20="",J20=""),"",IF(F20="Long",(I20-H20)*J20*IF(G20="",1,G20),(H20-I20)*J20*IF(G20="",1,G20)))</f>
        <v/>
      </c>
      <c r="P20" s="26" t="str">
        <f aca="false">IF(O20="","",O20-IF(N20="",0,N20))</f>
        <v/>
      </c>
      <c r="Q20" s="27" t="str">
        <f aca="false">IFERROR(IF(P20="","",P20/K20),"")</f>
        <v/>
      </c>
      <c r="R20" s="19"/>
      <c r="S20" s="18"/>
      <c r="T20" s="28"/>
    </row>
    <row r="21" customFormat="false" ht="18" hidden="false" customHeight="true" outlineLevel="0" collapsed="false">
      <c r="A21" s="3" t="str">
        <f aca="false">IF(B21&lt;&gt;"",ROW()-2,"")</f>
        <v/>
      </c>
      <c r="B21" s="4"/>
      <c r="C21" s="4"/>
      <c r="D21" s="5"/>
      <c r="E21" s="6"/>
      <c r="F21" s="5"/>
      <c r="G21" s="7"/>
      <c r="H21" s="8"/>
      <c r="I21" s="8"/>
      <c r="J21" s="9"/>
      <c r="K21" s="10" t="str">
        <f aca="false">IF(H21*J21=0,"",H21*J21)</f>
        <v/>
      </c>
      <c r="L21" s="11"/>
      <c r="M21" s="11"/>
      <c r="N21" s="10" t="str">
        <f aca="false">IF(L21+M21=0,"",L21+M21)</f>
        <v/>
      </c>
      <c r="O21" s="12" t="str">
        <f aca="false">IF(OR(H21="",I21="",J21=""),"",IF(F21="Long",(I21-H21)*J21*IF(G21="",1,G21),(H21-I21)*J21*IF(G21="",1,G21)))</f>
        <v/>
      </c>
      <c r="P21" s="13" t="str">
        <f aca="false">IF(O21="","",O21-IF(N21="",0,N21))</f>
        <v/>
      </c>
      <c r="Q21" s="14" t="str">
        <f aca="false">IFERROR(IF(P21="","",P21/K21),"")</f>
        <v/>
      </c>
      <c r="R21" s="6"/>
      <c r="S21" s="5"/>
      <c r="T21" s="15"/>
    </row>
    <row r="22" customFormat="false" ht="18" hidden="false" customHeight="true" outlineLevel="0" collapsed="false">
      <c r="A22" s="16" t="str">
        <f aca="false">IF(B22&lt;&gt;"",ROW()-2,"")</f>
        <v/>
      </c>
      <c r="B22" s="17"/>
      <c r="C22" s="17"/>
      <c r="D22" s="18"/>
      <c r="E22" s="19"/>
      <c r="F22" s="18"/>
      <c r="G22" s="20"/>
      <c r="H22" s="21"/>
      <c r="I22" s="21"/>
      <c r="J22" s="22"/>
      <c r="K22" s="23" t="str">
        <f aca="false">IF(H22*J22=0,"",H22*J22)</f>
        <v/>
      </c>
      <c r="L22" s="24"/>
      <c r="M22" s="24"/>
      <c r="N22" s="23" t="str">
        <f aca="false">IF(L22+M22=0,"",L22+M22)</f>
        <v/>
      </c>
      <c r="O22" s="25" t="str">
        <f aca="false">IF(OR(H22="",I22="",J22=""),"",IF(F22="Long",(I22-H22)*J22*IF(G22="",1,G22),(H22-I22)*J22*IF(G22="",1,G22)))</f>
        <v/>
      </c>
      <c r="P22" s="26" t="str">
        <f aca="false">IF(O22="","",O22-IF(N22="",0,N22))</f>
        <v/>
      </c>
      <c r="Q22" s="27" t="str">
        <f aca="false">IFERROR(IF(P22="","",P22/K22),"")</f>
        <v/>
      </c>
      <c r="R22" s="19"/>
      <c r="S22" s="18"/>
      <c r="T22" s="28"/>
    </row>
    <row r="23" customFormat="false" ht="18" hidden="false" customHeight="true" outlineLevel="0" collapsed="false">
      <c r="A23" s="3" t="str">
        <f aca="false">IF(B23&lt;&gt;"",ROW()-2,"")</f>
        <v/>
      </c>
      <c r="B23" s="4"/>
      <c r="C23" s="4"/>
      <c r="D23" s="5"/>
      <c r="E23" s="6"/>
      <c r="F23" s="5"/>
      <c r="G23" s="7"/>
      <c r="H23" s="8"/>
      <c r="I23" s="8"/>
      <c r="J23" s="9"/>
      <c r="K23" s="10" t="str">
        <f aca="false">IF(H23*J23=0,"",H23*J23)</f>
        <v/>
      </c>
      <c r="L23" s="11"/>
      <c r="M23" s="11"/>
      <c r="N23" s="10" t="str">
        <f aca="false">IF(L23+M23=0,"",L23+M23)</f>
        <v/>
      </c>
      <c r="O23" s="12" t="str">
        <f aca="false">IF(OR(H23="",I23="",J23=""),"",IF(F23="Long",(I23-H23)*J23*IF(G23="",1,G23),(H23-I23)*J23*IF(G23="",1,G23)))</f>
        <v/>
      </c>
      <c r="P23" s="13" t="str">
        <f aca="false">IF(O23="","",O23-IF(N23="",0,N23))</f>
        <v/>
      </c>
      <c r="Q23" s="14" t="str">
        <f aca="false">IFERROR(IF(P23="","",P23/K23),"")</f>
        <v/>
      </c>
      <c r="R23" s="6"/>
      <c r="S23" s="5"/>
      <c r="T23" s="15"/>
    </row>
    <row r="24" customFormat="false" ht="18" hidden="false" customHeight="true" outlineLevel="0" collapsed="false">
      <c r="A24" s="16" t="str">
        <f aca="false">IF(B24&lt;&gt;"",ROW()-2,"")</f>
        <v/>
      </c>
      <c r="B24" s="17"/>
      <c r="C24" s="17"/>
      <c r="D24" s="18"/>
      <c r="E24" s="19"/>
      <c r="F24" s="18"/>
      <c r="G24" s="20"/>
      <c r="H24" s="21"/>
      <c r="I24" s="21"/>
      <c r="J24" s="22"/>
      <c r="K24" s="23" t="str">
        <f aca="false">IF(H24*J24=0,"",H24*J24)</f>
        <v/>
      </c>
      <c r="L24" s="24"/>
      <c r="M24" s="24"/>
      <c r="N24" s="23" t="str">
        <f aca="false">IF(L24+M24=0,"",L24+M24)</f>
        <v/>
      </c>
      <c r="O24" s="25" t="str">
        <f aca="false">IF(OR(H24="",I24="",J24=""),"",IF(F24="Long",(I24-H24)*J24*IF(G24="",1,G24),(H24-I24)*J24*IF(G24="",1,G24)))</f>
        <v/>
      </c>
      <c r="P24" s="26" t="str">
        <f aca="false">IF(O24="","",O24-IF(N24="",0,N24))</f>
        <v/>
      </c>
      <c r="Q24" s="27" t="str">
        <f aca="false">IFERROR(IF(P24="","",P24/K24),"")</f>
        <v/>
      </c>
      <c r="R24" s="19"/>
      <c r="S24" s="18"/>
      <c r="T24" s="28"/>
    </row>
    <row r="25" customFormat="false" ht="18" hidden="false" customHeight="true" outlineLevel="0" collapsed="false">
      <c r="A25" s="3" t="str">
        <f aca="false">IF(B25&lt;&gt;"",ROW()-2,"")</f>
        <v/>
      </c>
      <c r="B25" s="4"/>
      <c r="C25" s="4"/>
      <c r="D25" s="5"/>
      <c r="E25" s="6"/>
      <c r="F25" s="5"/>
      <c r="G25" s="7"/>
      <c r="H25" s="8"/>
      <c r="I25" s="8"/>
      <c r="J25" s="9"/>
      <c r="K25" s="10" t="str">
        <f aca="false">IF(H25*J25=0,"",H25*J25)</f>
        <v/>
      </c>
      <c r="L25" s="11"/>
      <c r="M25" s="11"/>
      <c r="N25" s="10" t="str">
        <f aca="false">IF(L25+M25=0,"",L25+M25)</f>
        <v/>
      </c>
      <c r="O25" s="12" t="str">
        <f aca="false">IF(OR(H25="",I25="",J25=""),"",IF(F25="Long",(I25-H25)*J25*IF(G25="",1,G25),(H25-I25)*J25*IF(G25="",1,G25)))</f>
        <v/>
      </c>
      <c r="P25" s="13" t="str">
        <f aca="false">IF(O25="","",O25-IF(N25="",0,N25))</f>
        <v/>
      </c>
      <c r="Q25" s="14" t="str">
        <f aca="false">IFERROR(IF(P25="","",P25/K25),"")</f>
        <v/>
      </c>
      <c r="R25" s="6"/>
      <c r="S25" s="5"/>
      <c r="T25" s="15"/>
    </row>
    <row r="26" customFormat="false" ht="18" hidden="false" customHeight="true" outlineLevel="0" collapsed="false">
      <c r="A26" s="16" t="str">
        <f aca="false">IF(B26&lt;&gt;"",ROW()-2,"")</f>
        <v/>
      </c>
      <c r="B26" s="17"/>
      <c r="C26" s="17"/>
      <c r="D26" s="18"/>
      <c r="E26" s="19"/>
      <c r="F26" s="18"/>
      <c r="G26" s="20"/>
      <c r="H26" s="21"/>
      <c r="I26" s="21"/>
      <c r="J26" s="22"/>
      <c r="K26" s="23" t="str">
        <f aca="false">IF(H26*J26=0,"",H26*J26)</f>
        <v/>
      </c>
      <c r="L26" s="24"/>
      <c r="M26" s="24"/>
      <c r="N26" s="23" t="str">
        <f aca="false">IF(L26+M26=0,"",L26+M26)</f>
        <v/>
      </c>
      <c r="O26" s="25" t="str">
        <f aca="false">IF(OR(H26="",I26="",J26=""),"",IF(F26="Long",(I26-H26)*J26*IF(G26="",1,G26),(H26-I26)*J26*IF(G26="",1,G26)))</f>
        <v/>
      </c>
      <c r="P26" s="26" t="str">
        <f aca="false">IF(O26="","",O26-IF(N26="",0,N26))</f>
        <v/>
      </c>
      <c r="Q26" s="27" t="str">
        <f aca="false">IFERROR(IF(P26="","",P26/K26),"")</f>
        <v/>
      </c>
      <c r="R26" s="19"/>
      <c r="S26" s="18"/>
      <c r="T26" s="28"/>
    </row>
    <row r="27" customFormat="false" ht="18" hidden="false" customHeight="true" outlineLevel="0" collapsed="false">
      <c r="A27" s="3" t="str">
        <f aca="false">IF(B27&lt;&gt;"",ROW()-2,"")</f>
        <v/>
      </c>
      <c r="B27" s="4"/>
      <c r="C27" s="4"/>
      <c r="D27" s="5"/>
      <c r="E27" s="6"/>
      <c r="F27" s="5"/>
      <c r="G27" s="7"/>
      <c r="H27" s="8"/>
      <c r="I27" s="8"/>
      <c r="J27" s="9"/>
      <c r="K27" s="10" t="str">
        <f aca="false">IF(H27*J27=0,"",H27*J27)</f>
        <v/>
      </c>
      <c r="L27" s="11"/>
      <c r="M27" s="11"/>
      <c r="N27" s="10" t="str">
        <f aca="false">IF(L27+M27=0,"",L27+M27)</f>
        <v/>
      </c>
      <c r="O27" s="12" t="str">
        <f aca="false">IF(OR(H27="",I27="",J27=""),"",IF(F27="Long",(I27-H27)*J27*IF(G27="",1,G27),(H27-I27)*J27*IF(G27="",1,G27)))</f>
        <v/>
      </c>
      <c r="P27" s="13" t="str">
        <f aca="false">IF(O27="","",O27-IF(N27="",0,N27))</f>
        <v/>
      </c>
      <c r="Q27" s="14" t="str">
        <f aca="false">IFERROR(IF(P27="","",P27/K27),"")</f>
        <v/>
      </c>
      <c r="R27" s="6"/>
      <c r="S27" s="5"/>
      <c r="T27" s="15"/>
    </row>
    <row r="28" customFormat="false" ht="18" hidden="false" customHeight="true" outlineLevel="0" collapsed="false">
      <c r="A28" s="16" t="str">
        <f aca="false">IF(B28&lt;&gt;"",ROW()-2,"")</f>
        <v/>
      </c>
      <c r="B28" s="17"/>
      <c r="C28" s="17"/>
      <c r="D28" s="18"/>
      <c r="E28" s="19"/>
      <c r="F28" s="18"/>
      <c r="G28" s="20"/>
      <c r="H28" s="21"/>
      <c r="I28" s="21"/>
      <c r="J28" s="22"/>
      <c r="K28" s="23" t="str">
        <f aca="false">IF(H28*J28=0,"",H28*J28)</f>
        <v/>
      </c>
      <c r="L28" s="24"/>
      <c r="M28" s="24"/>
      <c r="N28" s="23" t="str">
        <f aca="false">IF(L28+M28=0,"",L28+M28)</f>
        <v/>
      </c>
      <c r="O28" s="25" t="str">
        <f aca="false">IF(OR(H28="",I28="",J28=""),"",IF(F28="Long",(I28-H28)*J28*IF(G28="",1,G28),(H28-I28)*J28*IF(G28="",1,G28)))</f>
        <v/>
      </c>
      <c r="P28" s="26" t="str">
        <f aca="false">IF(O28="","",O28-IF(N28="",0,N28))</f>
        <v/>
      </c>
      <c r="Q28" s="27" t="str">
        <f aca="false">IFERROR(IF(P28="","",P28/K28),"")</f>
        <v/>
      </c>
      <c r="R28" s="19"/>
      <c r="S28" s="18"/>
      <c r="T28" s="28"/>
    </row>
    <row r="29" customFormat="false" ht="18" hidden="false" customHeight="true" outlineLevel="0" collapsed="false">
      <c r="A29" s="3" t="str">
        <f aca="false">IF(B29&lt;&gt;"",ROW()-2,"")</f>
        <v/>
      </c>
      <c r="B29" s="4"/>
      <c r="C29" s="4"/>
      <c r="D29" s="5"/>
      <c r="E29" s="6"/>
      <c r="F29" s="5"/>
      <c r="G29" s="7"/>
      <c r="H29" s="8"/>
      <c r="I29" s="8"/>
      <c r="J29" s="9"/>
      <c r="K29" s="10" t="str">
        <f aca="false">IF(H29*J29=0,"",H29*J29)</f>
        <v/>
      </c>
      <c r="L29" s="11"/>
      <c r="M29" s="11"/>
      <c r="N29" s="10" t="str">
        <f aca="false">IF(L29+M29=0,"",L29+M29)</f>
        <v/>
      </c>
      <c r="O29" s="12" t="str">
        <f aca="false">IF(OR(H29="",I29="",J29=""),"",IF(F29="Long",(I29-H29)*J29*IF(G29="",1,G29),(H29-I29)*J29*IF(G29="",1,G29)))</f>
        <v/>
      </c>
      <c r="P29" s="13" t="str">
        <f aca="false">IF(O29="","",O29-IF(N29="",0,N29))</f>
        <v/>
      </c>
      <c r="Q29" s="14" t="str">
        <f aca="false">IFERROR(IF(P29="","",P29/K29),"")</f>
        <v/>
      </c>
      <c r="R29" s="6"/>
      <c r="S29" s="5"/>
      <c r="T29" s="15"/>
    </row>
    <row r="30" customFormat="false" ht="18" hidden="false" customHeight="true" outlineLevel="0" collapsed="false">
      <c r="A30" s="16" t="str">
        <f aca="false">IF(B30&lt;&gt;"",ROW()-2,"")</f>
        <v/>
      </c>
      <c r="B30" s="17"/>
      <c r="C30" s="17"/>
      <c r="D30" s="18"/>
      <c r="E30" s="19"/>
      <c r="F30" s="18"/>
      <c r="G30" s="20"/>
      <c r="H30" s="21"/>
      <c r="I30" s="21"/>
      <c r="J30" s="22"/>
      <c r="K30" s="23" t="str">
        <f aca="false">IF(H30*J30=0,"",H30*J30)</f>
        <v/>
      </c>
      <c r="L30" s="24"/>
      <c r="M30" s="24"/>
      <c r="N30" s="23" t="str">
        <f aca="false">IF(L30+M30=0,"",L30+M30)</f>
        <v/>
      </c>
      <c r="O30" s="25" t="str">
        <f aca="false">IF(OR(H30="",I30="",J30=""),"",IF(F30="Long",(I30-H30)*J30*IF(G30="",1,G30),(H30-I30)*J30*IF(G30="",1,G30)))</f>
        <v/>
      </c>
      <c r="P30" s="26" t="str">
        <f aca="false">IF(O30="","",O30-IF(N30="",0,N30))</f>
        <v/>
      </c>
      <c r="Q30" s="27" t="str">
        <f aca="false">IFERROR(IF(P30="","",P30/K30),"")</f>
        <v/>
      </c>
      <c r="R30" s="19"/>
      <c r="S30" s="18"/>
      <c r="T30" s="28"/>
    </row>
    <row r="31" customFormat="false" ht="18" hidden="false" customHeight="true" outlineLevel="0" collapsed="false">
      <c r="A31" s="3" t="str">
        <f aca="false">IF(B31&lt;&gt;"",ROW()-2,"")</f>
        <v/>
      </c>
      <c r="B31" s="4"/>
      <c r="C31" s="4"/>
      <c r="D31" s="5"/>
      <c r="E31" s="6"/>
      <c r="F31" s="5"/>
      <c r="G31" s="7"/>
      <c r="H31" s="8"/>
      <c r="I31" s="8"/>
      <c r="J31" s="9"/>
      <c r="K31" s="10" t="str">
        <f aca="false">IF(H31*J31=0,"",H31*J31)</f>
        <v/>
      </c>
      <c r="L31" s="11"/>
      <c r="M31" s="11"/>
      <c r="N31" s="10" t="str">
        <f aca="false">IF(L31+M31=0,"",L31+M31)</f>
        <v/>
      </c>
      <c r="O31" s="12" t="str">
        <f aca="false">IF(OR(H31="",I31="",J31=""),"",IF(F31="Long",(I31-H31)*J31*IF(G31="",1,G31),(H31-I31)*J31*IF(G31="",1,G31)))</f>
        <v/>
      </c>
      <c r="P31" s="13" t="str">
        <f aca="false">IF(O31="","",O31-IF(N31="",0,N31))</f>
        <v/>
      </c>
      <c r="Q31" s="14" t="str">
        <f aca="false">IFERROR(IF(P31="","",P31/K31),"")</f>
        <v/>
      </c>
      <c r="R31" s="6"/>
      <c r="S31" s="5"/>
      <c r="T31" s="15"/>
    </row>
    <row r="32" customFormat="false" ht="18" hidden="false" customHeight="true" outlineLevel="0" collapsed="false">
      <c r="A32" s="16" t="str">
        <f aca="false">IF(B32&lt;&gt;"",ROW()-2,"")</f>
        <v/>
      </c>
      <c r="B32" s="17"/>
      <c r="C32" s="17"/>
      <c r="D32" s="18"/>
      <c r="E32" s="19"/>
      <c r="F32" s="18"/>
      <c r="G32" s="20"/>
      <c r="H32" s="21"/>
      <c r="I32" s="21"/>
      <c r="J32" s="22"/>
      <c r="K32" s="23" t="str">
        <f aca="false">IF(H32*J32=0,"",H32*J32)</f>
        <v/>
      </c>
      <c r="L32" s="24"/>
      <c r="M32" s="24"/>
      <c r="N32" s="23" t="str">
        <f aca="false">IF(L32+M32=0,"",L32+M32)</f>
        <v/>
      </c>
      <c r="O32" s="25" t="str">
        <f aca="false">IF(OR(H32="",I32="",J32=""),"",IF(F32="Long",(I32-H32)*J32*IF(G32="",1,G32),(H32-I32)*J32*IF(G32="",1,G32)))</f>
        <v/>
      </c>
      <c r="P32" s="26" t="str">
        <f aca="false">IF(O32="","",O32-IF(N32="",0,N32))</f>
        <v/>
      </c>
      <c r="Q32" s="27" t="str">
        <f aca="false">IFERROR(IF(P32="","",P32/K32),"")</f>
        <v/>
      </c>
      <c r="R32" s="19"/>
      <c r="S32" s="18"/>
      <c r="T32" s="28"/>
    </row>
    <row r="33" customFormat="false" ht="18" hidden="false" customHeight="true" outlineLevel="0" collapsed="false">
      <c r="A33" s="3" t="str">
        <f aca="false">IF(B33&lt;&gt;"",ROW()-2,"")</f>
        <v/>
      </c>
      <c r="B33" s="4"/>
      <c r="C33" s="4"/>
      <c r="D33" s="5"/>
      <c r="E33" s="6"/>
      <c r="F33" s="5"/>
      <c r="G33" s="7"/>
      <c r="H33" s="8"/>
      <c r="I33" s="8"/>
      <c r="J33" s="9"/>
      <c r="K33" s="10" t="str">
        <f aca="false">IF(H33*J33=0,"",H33*J33)</f>
        <v/>
      </c>
      <c r="L33" s="11"/>
      <c r="M33" s="11"/>
      <c r="N33" s="10" t="str">
        <f aca="false">IF(L33+M33=0,"",L33+M33)</f>
        <v/>
      </c>
      <c r="O33" s="12" t="str">
        <f aca="false">IF(OR(H33="",I33="",J33=""),"",IF(F33="Long",(I33-H33)*J33*IF(G33="",1,G33),(H33-I33)*J33*IF(G33="",1,G33)))</f>
        <v/>
      </c>
      <c r="P33" s="13" t="str">
        <f aca="false">IF(O33="","",O33-IF(N33="",0,N33))</f>
        <v/>
      </c>
      <c r="Q33" s="14" t="str">
        <f aca="false">IFERROR(IF(P33="","",P33/K33),"")</f>
        <v/>
      </c>
      <c r="R33" s="6"/>
      <c r="S33" s="5"/>
      <c r="T33" s="15"/>
    </row>
    <row r="34" customFormat="false" ht="18" hidden="false" customHeight="true" outlineLevel="0" collapsed="false">
      <c r="A34" s="16" t="str">
        <f aca="false">IF(B34&lt;&gt;"",ROW()-2,"")</f>
        <v/>
      </c>
      <c r="B34" s="17"/>
      <c r="C34" s="17"/>
      <c r="D34" s="18"/>
      <c r="E34" s="19"/>
      <c r="F34" s="18"/>
      <c r="G34" s="20"/>
      <c r="H34" s="21"/>
      <c r="I34" s="21"/>
      <c r="J34" s="22"/>
      <c r="K34" s="23" t="str">
        <f aca="false">IF(H34*J34=0,"",H34*J34)</f>
        <v/>
      </c>
      <c r="L34" s="24"/>
      <c r="M34" s="24"/>
      <c r="N34" s="23" t="str">
        <f aca="false">IF(L34+M34=0,"",L34+M34)</f>
        <v/>
      </c>
      <c r="O34" s="25" t="str">
        <f aca="false">IF(OR(H34="",I34="",J34=""),"",IF(F34="Long",(I34-H34)*J34*IF(G34="",1,G34),(H34-I34)*J34*IF(G34="",1,G34)))</f>
        <v/>
      </c>
      <c r="P34" s="26" t="str">
        <f aca="false">IF(O34="","",O34-IF(N34="",0,N34))</f>
        <v/>
      </c>
      <c r="Q34" s="27" t="str">
        <f aca="false">IFERROR(IF(P34="","",P34/K34),"")</f>
        <v/>
      </c>
      <c r="R34" s="19"/>
      <c r="S34" s="18"/>
      <c r="T34" s="28"/>
    </row>
    <row r="35" customFormat="false" ht="18" hidden="false" customHeight="true" outlineLevel="0" collapsed="false">
      <c r="A35" s="3" t="str">
        <f aca="false">IF(B35&lt;&gt;"",ROW()-2,"")</f>
        <v/>
      </c>
      <c r="B35" s="4"/>
      <c r="C35" s="4"/>
      <c r="D35" s="5"/>
      <c r="E35" s="6"/>
      <c r="F35" s="5"/>
      <c r="G35" s="7"/>
      <c r="H35" s="8"/>
      <c r="I35" s="8"/>
      <c r="J35" s="9"/>
      <c r="K35" s="10" t="str">
        <f aca="false">IF(H35*J35=0,"",H35*J35)</f>
        <v/>
      </c>
      <c r="L35" s="11"/>
      <c r="M35" s="11"/>
      <c r="N35" s="10" t="str">
        <f aca="false">IF(L35+M35=0,"",L35+M35)</f>
        <v/>
      </c>
      <c r="O35" s="12" t="str">
        <f aca="false">IF(OR(H35="",I35="",J35=""),"",IF(F35="Long",(I35-H35)*J35*IF(G35="",1,G35),(H35-I35)*J35*IF(G35="",1,G35)))</f>
        <v/>
      </c>
      <c r="P35" s="13" t="str">
        <f aca="false">IF(O35="","",O35-IF(N35="",0,N35))</f>
        <v/>
      </c>
      <c r="Q35" s="14" t="str">
        <f aca="false">IFERROR(IF(P35="","",P35/K35),"")</f>
        <v/>
      </c>
      <c r="R35" s="6"/>
      <c r="S35" s="5"/>
      <c r="T35" s="15"/>
    </row>
    <row r="36" customFormat="false" ht="18" hidden="false" customHeight="true" outlineLevel="0" collapsed="false">
      <c r="A36" s="16" t="str">
        <f aca="false">IF(B36&lt;&gt;"",ROW()-2,"")</f>
        <v/>
      </c>
      <c r="B36" s="17"/>
      <c r="C36" s="17"/>
      <c r="D36" s="18"/>
      <c r="E36" s="19"/>
      <c r="F36" s="18"/>
      <c r="G36" s="20"/>
      <c r="H36" s="21"/>
      <c r="I36" s="21"/>
      <c r="J36" s="22"/>
      <c r="K36" s="23" t="str">
        <f aca="false">IF(H36*J36=0,"",H36*J36)</f>
        <v/>
      </c>
      <c r="L36" s="24"/>
      <c r="M36" s="24"/>
      <c r="N36" s="23" t="str">
        <f aca="false">IF(L36+M36=0,"",L36+M36)</f>
        <v/>
      </c>
      <c r="O36" s="25" t="str">
        <f aca="false">IF(OR(H36="",I36="",J36=""),"",IF(F36="Long",(I36-H36)*J36*IF(G36="",1,G36),(H36-I36)*J36*IF(G36="",1,G36)))</f>
        <v/>
      </c>
      <c r="P36" s="26" t="str">
        <f aca="false">IF(O36="","",O36-IF(N36="",0,N36))</f>
        <v/>
      </c>
      <c r="Q36" s="27" t="str">
        <f aca="false">IFERROR(IF(P36="","",P36/K36),"")</f>
        <v/>
      </c>
      <c r="R36" s="19"/>
      <c r="S36" s="18"/>
      <c r="T36" s="28"/>
    </row>
    <row r="37" customFormat="false" ht="18" hidden="false" customHeight="true" outlineLevel="0" collapsed="false">
      <c r="A37" s="3" t="str">
        <f aca="false">IF(B37&lt;&gt;"",ROW()-2,"")</f>
        <v/>
      </c>
      <c r="B37" s="4"/>
      <c r="C37" s="4"/>
      <c r="D37" s="5"/>
      <c r="E37" s="6"/>
      <c r="F37" s="5"/>
      <c r="G37" s="7"/>
      <c r="H37" s="8"/>
      <c r="I37" s="8"/>
      <c r="J37" s="9"/>
      <c r="K37" s="10" t="str">
        <f aca="false">IF(H37*J37=0,"",H37*J37)</f>
        <v/>
      </c>
      <c r="L37" s="11"/>
      <c r="M37" s="11"/>
      <c r="N37" s="10" t="str">
        <f aca="false">IF(L37+M37=0,"",L37+M37)</f>
        <v/>
      </c>
      <c r="O37" s="12" t="str">
        <f aca="false">IF(OR(H37="",I37="",J37=""),"",IF(F37="Long",(I37-H37)*J37*IF(G37="",1,G37),(H37-I37)*J37*IF(G37="",1,G37)))</f>
        <v/>
      </c>
      <c r="P37" s="13" t="str">
        <f aca="false">IF(O37="","",O37-IF(N37="",0,N37))</f>
        <v/>
      </c>
      <c r="Q37" s="14" t="str">
        <f aca="false">IFERROR(IF(P37="","",P37/K37),"")</f>
        <v/>
      </c>
      <c r="R37" s="6"/>
      <c r="S37" s="5"/>
      <c r="T37" s="15"/>
    </row>
    <row r="38" customFormat="false" ht="18" hidden="false" customHeight="true" outlineLevel="0" collapsed="false">
      <c r="A38" s="16" t="str">
        <f aca="false">IF(B38&lt;&gt;"",ROW()-2,"")</f>
        <v/>
      </c>
      <c r="B38" s="17"/>
      <c r="C38" s="17"/>
      <c r="D38" s="18"/>
      <c r="E38" s="19"/>
      <c r="F38" s="18"/>
      <c r="G38" s="20"/>
      <c r="H38" s="21"/>
      <c r="I38" s="21"/>
      <c r="J38" s="22"/>
      <c r="K38" s="23" t="str">
        <f aca="false">IF(H38*J38=0,"",H38*J38)</f>
        <v/>
      </c>
      <c r="L38" s="24"/>
      <c r="M38" s="24"/>
      <c r="N38" s="23" t="str">
        <f aca="false">IF(L38+M38=0,"",L38+M38)</f>
        <v/>
      </c>
      <c r="O38" s="25" t="str">
        <f aca="false">IF(OR(H38="",I38="",J38=""),"",IF(F38="Long",(I38-H38)*J38*IF(G38="",1,G38),(H38-I38)*J38*IF(G38="",1,G38)))</f>
        <v/>
      </c>
      <c r="P38" s="26" t="str">
        <f aca="false">IF(O38="","",O38-IF(N38="",0,N38))</f>
        <v/>
      </c>
      <c r="Q38" s="27" t="str">
        <f aca="false">IFERROR(IF(P38="","",P38/K38),"")</f>
        <v/>
      </c>
      <c r="R38" s="19"/>
      <c r="S38" s="18"/>
      <c r="T38" s="28"/>
    </row>
    <row r="39" customFormat="false" ht="18" hidden="false" customHeight="true" outlineLevel="0" collapsed="false">
      <c r="A39" s="3" t="str">
        <f aca="false">IF(B39&lt;&gt;"",ROW()-2,"")</f>
        <v/>
      </c>
      <c r="B39" s="4"/>
      <c r="C39" s="4"/>
      <c r="D39" s="5"/>
      <c r="E39" s="6"/>
      <c r="F39" s="5"/>
      <c r="G39" s="7"/>
      <c r="H39" s="8"/>
      <c r="I39" s="8"/>
      <c r="J39" s="9"/>
      <c r="K39" s="10" t="str">
        <f aca="false">IF(H39*J39=0,"",H39*J39)</f>
        <v/>
      </c>
      <c r="L39" s="11"/>
      <c r="M39" s="11"/>
      <c r="N39" s="10" t="str">
        <f aca="false">IF(L39+M39=0,"",L39+M39)</f>
        <v/>
      </c>
      <c r="O39" s="12" t="str">
        <f aca="false">IF(OR(H39="",I39="",J39=""),"",IF(F39="Long",(I39-H39)*J39*IF(G39="",1,G39),(H39-I39)*J39*IF(G39="",1,G39)))</f>
        <v/>
      </c>
      <c r="P39" s="13" t="str">
        <f aca="false">IF(O39="","",O39-IF(N39="",0,N39))</f>
        <v/>
      </c>
      <c r="Q39" s="14" t="str">
        <f aca="false">IFERROR(IF(P39="","",P39/K39),"")</f>
        <v/>
      </c>
      <c r="R39" s="6"/>
      <c r="S39" s="5"/>
      <c r="T39" s="15"/>
    </row>
    <row r="40" customFormat="false" ht="18" hidden="false" customHeight="true" outlineLevel="0" collapsed="false">
      <c r="A40" s="16" t="str">
        <f aca="false">IF(B40&lt;&gt;"",ROW()-2,"")</f>
        <v/>
      </c>
      <c r="B40" s="17"/>
      <c r="C40" s="17"/>
      <c r="D40" s="18"/>
      <c r="E40" s="19"/>
      <c r="F40" s="18"/>
      <c r="G40" s="20"/>
      <c r="H40" s="21"/>
      <c r="I40" s="21"/>
      <c r="J40" s="22"/>
      <c r="K40" s="23" t="str">
        <f aca="false">IF(H40*J40=0,"",H40*J40)</f>
        <v/>
      </c>
      <c r="L40" s="24"/>
      <c r="M40" s="24"/>
      <c r="N40" s="23" t="str">
        <f aca="false">IF(L40+M40=0,"",L40+M40)</f>
        <v/>
      </c>
      <c r="O40" s="25" t="str">
        <f aca="false">IF(OR(H40="",I40="",J40=""),"",IF(F40="Long",(I40-H40)*J40*IF(G40="",1,G40),(H40-I40)*J40*IF(G40="",1,G40)))</f>
        <v/>
      </c>
      <c r="P40" s="26" t="str">
        <f aca="false">IF(O40="","",O40-IF(N40="",0,N40))</f>
        <v/>
      </c>
      <c r="Q40" s="27" t="str">
        <f aca="false">IFERROR(IF(P40="","",P40/K40),"")</f>
        <v/>
      </c>
      <c r="R40" s="19"/>
      <c r="S40" s="18"/>
      <c r="T40" s="28"/>
    </row>
    <row r="41" customFormat="false" ht="18" hidden="false" customHeight="true" outlineLevel="0" collapsed="false">
      <c r="A41" s="3" t="str">
        <f aca="false">IF(B41&lt;&gt;"",ROW()-2,"")</f>
        <v/>
      </c>
      <c r="B41" s="4"/>
      <c r="C41" s="4"/>
      <c r="D41" s="5"/>
      <c r="E41" s="6"/>
      <c r="F41" s="5"/>
      <c r="G41" s="7"/>
      <c r="H41" s="8"/>
      <c r="I41" s="8"/>
      <c r="J41" s="9"/>
      <c r="K41" s="10" t="str">
        <f aca="false">IF(H41*J41=0,"",H41*J41)</f>
        <v/>
      </c>
      <c r="L41" s="11"/>
      <c r="M41" s="11"/>
      <c r="N41" s="10" t="str">
        <f aca="false">IF(L41+M41=0,"",L41+M41)</f>
        <v/>
      </c>
      <c r="O41" s="12" t="str">
        <f aca="false">IF(OR(H41="",I41="",J41=""),"",IF(F41="Long",(I41-H41)*J41*IF(G41="",1,G41),(H41-I41)*J41*IF(G41="",1,G41)))</f>
        <v/>
      </c>
      <c r="P41" s="13" t="str">
        <f aca="false">IF(O41="","",O41-IF(N41="",0,N41))</f>
        <v/>
      </c>
      <c r="Q41" s="14" t="str">
        <f aca="false">IFERROR(IF(P41="","",P41/K41),"")</f>
        <v/>
      </c>
      <c r="R41" s="6"/>
      <c r="S41" s="5"/>
      <c r="T41" s="15"/>
    </row>
    <row r="42" customFormat="false" ht="18" hidden="false" customHeight="true" outlineLevel="0" collapsed="false">
      <c r="A42" s="16" t="str">
        <f aca="false">IF(B42&lt;&gt;"",ROW()-2,"")</f>
        <v/>
      </c>
      <c r="B42" s="17"/>
      <c r="C42" s="17"/>
      <c r="D42" s="18"/>
      <c r="E42" s="19"/>
      <c r="F42" s="18"/>
      <c r="G42" s="20"/>
      <c r="H42" s="21"/>
      <c r="I42" s="21"/>
      <c r="J42" s="22"/>
      <c r="K42" s="23" t="str">
        <f aca="false">IF(H42*J42=0,"",H42*J42)</f>
        <v/>
      </c>
      <c r="L42" s="24"/>
      <c r="M42" s="24"/>
      <c r="N42" s="23" t="str">
        <f aca="false">IF(L42+M42=0,"",L42+M42)</f>
        <v/>
      </c>
      <c r="O42" s="25" t="str">
        <f aca="false">IF(OR(H42="",I42="",J42=""),"",IF(F42="Long",(I42-H42)*J42*IF(G42="",1,G42),(H42-I42)*J42*IF(G42="",1,G42)))</f>
        <v/>
      </c>
      <c r="P42" s="26" t="str">
        <f aca="false">IF(O42="","",O42-IF(N42="",0,N42))</f>
        <v/>
      </c>
      <c r="Q42" s="27" t="str">
        <f aca="false">IFERROR(IF(P42="","",P42/K42),"")</f>
        <v/>
      </c>
      <c r="R42" s="19"/>
      <c r="S42" s="18"/>
      <c r="T42" s="28"/>
    </row>
    <row r="43" customFormat="false" ht="18" hidden="false" customHeight="true" outlineLevel="0" collapsed="false">
      <c r="A43" s="3" t="str">
        <f aca="false">IF(B43&lt;&gt;"",ROW()-2,"")</f>
        <v/>
      </c>
      <c r="B43" s="4"/>
      <c r="C43" s="4"/>
      <c r="D43" s="5"/>
      <c r="E43" s="6"/>
      <c r="F43" s="5"/>
      <c r="G43" s="7"/>
      <c r="H43" s="8"/>
      <c r="I43" s="8"/>
      <c r="J43" s="9"/>
      <c r="K43" s="10" t="str">
        <f aca="false">IF(H43*J43=0,"",H43*J43)</f>
        <v/>
      </c>
      <c r="L43" s="11"/>
      <c r="M43" s="11"/>
      <c r="N43" s="10" t="str">
        <f aca="false">IF(L43+M43=0,"",L43+M43)</f>
        <v/>
      </c>
      <c r="O43" s="12" t="str">
        <f aca="false">IF(OR(H43="",I43="",J43=""),"",IF(F43="Long",(I43-H43)*J43*IF(G43="",1,G43),(H43-I43)*J43*IF(G43="",1,G43)))</f>
        <v/>
      </c>
      <c r="P43" s="13" t="str">
        <f aca="false">IF(O43="","",O43-IF(N43="",0,N43))</f>
        <v/>
      </c>
      <c r="Q43" s="14" t="str">
        <f aca="false">IFERROR(IF(P43="","",P43/K43),"")</f>
        <v/>
      </c>
      <c r="R43" s="6"/>
      <c r="S43" s="5"/>
      <c r="T43" s="15"/>
    </row>
    <row r="44" customFormat="false" ht="18" hidden="false" customHeight="true" outlineLevel="0" collapsed="false">
      <c r="A44" s="16" t="str">
        <f aca="false">IF(B44&lt;&gt;"",ROW()-2,"")</f>
        <v/>
      </c>
      <c r="B44" s="17"/>
      <c r="C44" s="17"/>
      <c r="D44" s="18"/>
      <c r="E44" s="19"/>
      <c r="F44" s="18"/>
      <c r="G44" s="20"/>
      <c r="H44" s="21"/>
      <c r="I44" s="21"/>
      <c r="J44" s="22"/>
      <c r="K44" s="23" t="str">
        <f aca="false">IF(H44*J44=0,"",H44*J44)</f>
        <v/>
      </c>
      <c r="L44" s="24"/>
      <c r="M44" s="24"/>
      <c r="N44" s="23" t="str">
        <f aca="false">IF(L44+M44=0,"",L44+M44)</f>
        <v/>
      </c>
      <c r="O44" s="25" t="str">
        <f aca="false">IF(OR(H44="",I44="",J44=""),"",IF(F44="Long",(I44-H44)*J44*IF(G44="",1,G44),(H44-I44)*J44*IF(G44="",1,G44)))</f>
        <v/>
      </c>
      <c r="P44" s="26" t="str">
        <f aca="false">IF(O44="","",O44-IF(N44="",0,N44))</f>
        <v/>
      </c>
      <c r="Q44" s="27" t="str">
        <f aca="false">IFERROR(IF(P44="","",P44/K44),"")</f>
        <v/>
      </c>
      <c r="R44" s="19"/>
      <c r="S44" s="18"/>
      <c r="T44" s="28"/>
    </row>
    <row r="45" customFormat="false" ht="18" hidden="false" customHeight="true" outlineLevel="0" collapsed="false">
      <c r="A45" s="3" t="str">
        <f aca="false">IF(B45&lt;&gt;"",ROW()-2,"")</f>
        <v/>
      </c>
      <c r="B45" s="4"/>
      <c r="C45" s="4"/>
      <c r="D45" s="5"/>
      <c r="E45" s="6"/>
      <c r="F45" s="5"/>
      <c r="G45" s="7"/>
      <c r="H45" s="8"/>
      <c r="I45" s="8"/>
      <c r="J45" s="9"/>
      <c r="K45" s="10" t="str">
        <f aca="false">IF(H45*J45=0,"",H45*J45)</f>
        <v/>
      </c>
      <c r="L45" s="11"/>
      <c r="M45" s="11"/>
      <c r="N45" s="10" t="str">
        <f aca="false">IF(L45+M45=0,"",L45+M45)</f>
        <v/>
      </c>
      <c r="O45" s="12" t="str">
        <f aca="false">IF(OR(H45="",I45="",J45=""),"",IF(F45="Long",(I45-H45)*J45*IF(G45="",1,G45),(H45-I45)*J45*IF(G45="",1,G45)))</f>
        <v/>
      </c>
      <c r="P45" s="13" t="str">
        <f aca="false">IF(O45="","",O45-IF(N45="",0,N45))</f>
        <v/>
      </c>
      <c r="Q45" s="14" t="str">
        <f aca="false">IFERROR(IF(P45="","",P45/K45),"")</f>
        <v/>
      </c>
      <c r="R45" s="6"/>
      <c r="S45" s="5"/>
      <c r="T45" s="15"/>
    </row>
    <row r="46" customFormat="false" ht="18" hidden="false" customHeight="true" outlineLevel="0" collapsed="false">
      <c r="A46" s="16" t="str">
        <f aca="false">IF(B46&lt;&gt;"",ROW()-2,"")</f>
        <v/>
      </c>
      <c r="B46" s="17"/>
      <c r="C46" s="17"/>
      <c r="D46" s="18"/>
      <c r="E46" s="19"/>
      <c r="F46" s="18"/>
      <c r="G46" s="20"/>
      <c r="H46" s="21"/>
      <c r="I46" s="21"/>
      <c r="J46" s="22"/>
      <c r="K46" s="23" t="str">
        <f aca="false">IF(H46*J46=0,"",H46*J46)</f>
        <v/>
      </c>
      <c r="L46" s="24"/>
      <c r="M46" s="24"/>
      <c r="N46" s="23" t="str">
        <f aca="false">IF(L46+M46=0,"",L46+M46)</f>
        <v/>
      </c>
      <c r="O46" s="25" t="str">
        <f aca="false">IF(OR(H46="",I46="",J46=""),"",IF(F46="Long",(I46-H46)*J46*IF(G46="",1,G46),(H46-I46)*J46*IF(G46="",1,G46)))</f>
        <v/>
      </c>
      <c r="P46" s="26" t="str">
        <f aca="false">IF(O46="","",O46-IF(N46="",0,N46))</f>
        <v/>
      </c>
      <c r="Q46" s="27" t="str">
        <f aca="false">IFERROR(IF(P46="","",P46/K46),"")</f>
        <v/>
      </c>
      <c r="R46" s="19"/>
      <c r="S46" s="18"/>
      <c r="T46" s="28"/>
    </row>
    <row r="47" customFormat="false" ht="18" hidden="false" customHeight="true" outlineLevel="0" collapsed="false">
      <c r="A47" s="3" t="str">
        <f aca="false">IF(B47&lt;&gt;"",ROW()-2,"")</f>
        <v/>
      </c>
      <c r="B47" s="4"/>
      <c r="C47" s="4"/>
      <c r="D47" s="5"/>
      <c r="E47" s="6"/>
      <c r="F47" s="5"/>
      <c r="G47" s="7"/>
      <c r="H47" s="8"/>
      <c r="I47" s="8"/>
      <c r="J47" s="9"/>
      <c r="K47" s="10" t="str">
        <f aca="false">IF(H47*J47=0,"",H47*J47)</f>
        <v/>
      </c>
      <c r="L47" s="11"/>
      <c r="M47" s="11"/>
      <c r="N47" s="10" t="str">
        <f aca="false">IF(L47+M47=0,"",L47+M47)</f>
        <v/>
      </c>
      <c r="O47" s="12" t="str">
        <f aca="false">IF(OR(H47="",I47="",J47=""),"",IF(F47="Long",(I47-H47)*J47*IF(G47="",1,G47),(H47-I47)*J47*IF(G47="",1,G47)))</f>
        <v/>
      </c>
      <c r="P47" s="13" t="str">
        <f aca="false">IF(O47="","",O47-IF(N47="",0,N47))</f>
        <v/>
      </c>
      <c r="Q47" s="14" t="str">
        <f aca="false">IFERROR(IF(P47="","",P47/K47),"")</f>
        <v/>
      </c>
      <c r="R47" s="6"/>
      <c r="S47" s="5"/>
      <c r="T47" s="15"/>
    </row>
    <row r="48" customFormat="false" ht="18" hidden="false" customHeight="true" outlineLevel="0" collapsed="false">
      <c r="A48" s="16" t="str">
        <f aca="false">IF(B48&lt;&gt;"",ROW()-2,"")</f>
        <v/>
      </c>
      <c r="B48" s="17"/>
      <c r="C48" s="17"/>
      <c r="D48" s="18"/>
      <c r="E48" s="19"/>
      <c r="F48" s="18"/>
      <c r="G48" s="20"/>
      <c r="H48" s="21"/>
      <c r="I48" s="21"/>
      <c r="J48" s="22"/>
      <c r="K48" s="23" t="str">
        <f aca="false">IF(H48*J48=0,"",H48*J48)</f>
        <v/>
      </c>
      <c r="L48" s="24"/>
      <c r="M48" s="24"/>
      <c r="N48" s="23" t="str">
        <f aca="false">IF(L48+M48=0,"",L48+M48)</f>
        <v/>
      </c>
      <c r="O48" s="25" t="str">
        <f aca="false">IF(OR(H48="",I48="",J48=""),"",IF(F48="Long",(I48-H48)*J48*IF(G48="",1,G48),(H48-I48)*J48*IF(G48="",1,G48)))</f>
        <v/>
      </c>
      <c r="P48" s="26" t="str">
        <f aca="false">IF(O48="","",O48-IF(N48="",0,N48))</f>
        <v/>
      </c>
      <c r="Q48" s="27" t="str">
        <f aca="false">IFERROR(IF(P48="","",P48/K48),"")</f>
        <v/>
      </c>
      <c r="R48" s="19"/>
      <c r="S48" s="18"/>
      <c r="T48" s="28"/>
    </row>
    <row r="49" customFormat="false" ht="18" hidden="false" customHeight="true" outlineLevel="0" collapsed="false">
      <c r="A49" s="3" t="str">
        <f aca="false">IF(B49&lt;&gt;"",ROW()-2,"")</f>
        <v/>
      </c>
      <c r="B49" s="4"/>
      <c r="C49" s="4"/>
      <c r="D49" s="5"/>
      <c r="E49" s="6"/>
      <c r="F49" s="5"/>
      <c r="G49" s="7"/>
      <c r="H49" s="8"/>
      <c r="I49" s="8"/>
      <c r="J49" s="9"/>
      <c r="K49" s="10" t="str">
        <f aca="false">IF(H49*J49=0,"",H49*J49)</f>
        <v/>
      </c>
      <c r="L49" s="11"/>
      <c r="M49" s="11"/>
      <c r="N49" s="10" t="str">
        <f aca="false">IF(L49+M49=0,"",L49+M49)</f>
        <v/>
      </c>
      <c r="O49" s="12" t="str">
        <f aca="false">IF(OR(H49="",I49="",J49=""),"",IF(F49="Long",(I49-H49)*J49*IF(G49="",1,G49),(H49-I49)*J49*IF(G49="",1,G49)))</f>
        <v/>
      </c>
      <c r="P49" s="13" t="str">
        <f aca="false">IF(O49="","",O49-IF(N49="",0,N49))</f>
        <v/>
      </c>
      <c r="Q49" s="14" t="str">
        <f aca="false">IFERROR(IF(P49="","",P49/K49),"")</f>
        <v/>
      </c>
      <c r="R49" s="6"/>
      <c r="S49" s="5"/>
      <c r="T49" s="15"/>
    </row>
    <row r="50" customFormat="false" ht="18" hidden="false" customHeight="true" outlineLevel="0" collapsed="false">
      <c r="A50" s="16" t="str">
        <f aca="false">IF(B50&lt;&gt;"",ROW()-2,"")</f>
        <v/>
      </c>
      <c r="B50" s="17"/>
      <c r="C50" s="17"/>
      <c r="D50" s="18"/>
      <c r="E50" s="19"/>
      <c r="F50" s="18"/>
      <c r="G50" s="20"/>
      <c r="H50" s="21"/>
      <c r="I50" s="21"/>
      <c r="J50" s="22"/>
      <c r="K50" s="23" t="str">
        <f aca="false">IF(H50*J50=0,"",H50*J50)</f>
        <v/>
      </c>
      <c r="L50" s="24"/>
      <c r="M50" s="24"/>
      <c r="N50" s="23" t="str">
        <f aca="false">IF(L50+M50=0,"",L50+M50)</f>
        <v/>
      </c>
      <c r="O50" s="25" t="str">
        <f aca="false">IF(OR(H50="",I50="",J50=""),"",IF(F50="Long",(I50-H50)*J50*IF(G50="",1,G50),(H50-I50)*J50*IF(G50="",1,G50)))</f>
        <v/>
      </c>
      <c r="P50" s="26" t="str">
        <f aca="false">IF(O50="","",O50-IF(N50="",0,N50))</f>
        <v/>
      </c>
      <c r="Q50" s="27" t="str">
        <f aca="false">IFERROR(IF(P50="","",P50/K50),"")</f>
        <v/>
      </c>
      <c r="R50" s="19"/>
      <c r="S50" s="18"/>
      <c r="T50" s="28"/>
    </row>
    <row r="51" customFormat="false" ht="18" hidden="false" customHeight="true" outlineLevel="0" collapsed="false">
      <c r="A51" s="3" t="str">
        <f aca="false">IF(B51&lt;&gt;"",ROW()-2,"")</f>
        <v/>
      </c>
      <c r="B51" s="4"/>
      <c r="C51" s="4"/>
      <c r="D51" s="5"/>
      <c r="E51" s="6"/>
      <c r="F51" s="5"/>
      <c r="G51" s="7"/>
      <c r="H51" s="8"/>
      <c r="I51" s="8"/>
      <c r="J51" s="9"/>
      <c r="K51" s="10" t="str">
        <f aca="false">IF(H51*J51=0,"",H51*J51)</f>
        <v/>
      </c>
      <c r="L51" s="11"/>
      <c r="M51" s="11"/>
      <c r="N51" s="10" t="str">
        <f aca="false">IF(L51+M51=0,"",L51+M51)</f>
        <v/>
      </c>
      <c r="O51" s="12" t="str">
        <f aca="false">IF(OR(H51="",I51="",J51=""),"",IF(F51="Long",(I51-H51)*J51*IF(G51="",1,G51),(H51-I51)*J51*IF(G51="",1,G51)))</f>
        <v/>
      </c>
      <c r="P51" s="13" t="str">
        <f aca="false">IF(O51="","",O51-IF(N51="",0,N51))</f>
        <v/>
      </c>
      <c r="Q51" s="14" t="str">
        <f aca="false">IFERROR(IF(P51="","",P51/K51),"")</f>
        <v/>
      </c>
      <c r="R51" s="6"/>
      <c r="S51" s="5"/>
      <c r="T51" s="15"/>
    </row>
    <row r="52" customFormat="false" ht="18" hidden="false" customHeight="true" outlineLevel="0" collapsed="false">
      <c r="A52" s="16" t="str">
        <f aca="false">IF(B52&lt;&gt;"",ROW()-2,"")</f>
        <v/>
      </c>
      <c r="B52" s="17"/>
      <c r="C52" s="17"/>
      <c r="D52" s="18"/>
      <c r="E52" s="19"/>
      <c r="F52" s="18"/>
      <c r="G52" s="20"/>
      <c r="H52" s="21"/>
      <c r="I52" s="21"/>
      <c r="J52" s="22"/>
      <c r="K52" s="23" t="str">
        <f aca="false">IF(H52*J52=0,"",H52*J52)</f>
        <v/>
      </c>
      <c r="L52" s="24"/>
      <c r="M52" s="24"/>
      <c r="N52" s="23" t="str">
        <f aca="false">IF(L52+M52=0,"",L52+M52)</f>
        <v/>
      </c>
      <c r="O52" s="25" t="str">
        <f aca="false">IF(OR(H52="",I52="",J52=""),"",IF(F52="Long",(I52-H52)*J52*IF(G52="",1,G52),(H52-I52)*J52*IF(G52="",1,G52)))</f>
        <v/>
      </c>
      <c r="P52" s="26" t="str">
        <f aca="false">IF(O52="","",O52-IF(N52="",0,N52))</f>
        <v/>
      </c>
      <c r="Q52" s="27" t="str">
        <f aca="false">IFERROR(IF(P52="","",P52/K52),"")</f>
        <v/>
      </c>
      <c r="R52" s="19"/>
      <c r="S52" s="18"/>
      <c r="T52" s="28"/>
    </row>
    <row r="53" customFormat="false" ht="18" hidden="false" customHeight="true" outlineLevel="0" collapsed="false">
      <c r="A53" s="3" t="str">
        <f aca="false">IF(B53&lt;&gt;"",ROW()-2,"")</f>
        <v/>
      </c>
      <c r="B53" s="4"/>
      <c r="C53" s="4"/>
      <c r="D53" s="5"/>
      <c r="E53" s="6"/>
      <c r="F53" s="5"/>
      <c r="G53" s="7"/>
      <c r="H53" s="8"/>
      <c r="I53" s="8"/>
      <c r="J53" s="9"/>
      <c r="K53" s="10" t="str">
        <f aca="false">IF(H53*J53=0,"",H53*J53)</f>
        <v/>
      </c>
      <c r="L53" s="11"/>
      <c r="M53" s="11"/>
      <c r="N53" s="10" t="str">
        <f aca="false">IF(L53+M53=0,"",L53+M53)</f>
        <v/>
      </c>
      <c r="O53" s="12" t="str">
        <f aca="false">IF(OR(H53="",I53="",J53=""),"",IF(F53="Long",(I53-H53)*J53*IF(G53="",1,G53),(H53-I53)*J53*IF(G53="",1,G53)))</f>
        <v/>
      </c>
      <c r="P53" s="13" t="str">
        <f aca="false">IF(O53="","",O53-IF(N53="",0,N53))</f>
        <v/>
      </c>
      <c r="Q53" s="14" t="str">
        <f aca="false">IFERROR(IF(P53="","",P53/K53),"")</f>
        <v/>
      </c>
      <c r="R53" s="6"/>
      <c r="S53" s="5"/>
      <c r="T53" s="15"/>
    </row>
    <row r="54" customFormat="false" ht="18" hidden="false" customHeight="true" outlineLevel="0" collapsed="false">
      <c r="A54" s="16" t="str">
        <f aca="false">IF(B54&lt;&gt;"",ROW()-2,"")</f>
        <v/>
      </c>
      <c r="B54" s="17"/>
      <c r="C54" s="17"/>
      <c r="D54" s="18"/>
      <c r="E54" s="19"/>
      <c r="F54" s="18"/>
      <c r="G54" s="20"/>
      <c r="H54" s="21"/>
      <c r="I54" s="21"/>
      <c r="J54" s="22"/>
      <c r="K54" s="23" t="str">
        <f aca="false">IF(H54*J54=0,"",H54*J54)</f>
        <v/>
      </c>
      <c r="L54" s="24"/>
      <c r="M54" s="24"/>
      <c r="N54" s="23" t="str">
        <f aca="false">IF(L54+M54=0,"",L54+M54)</f>
        <v/>
      </c>
      <c r="O54" s="25" t="str">
        <f aca="false">IF(OR(H54="",I54="",J54=""),"",IF(F54="Long",(I54-H54)*J54*IF(G54="",1,G54),(H54-I54)*J54*IF(G54="",1,G54)))</f>
        <v/>
      </c>
      <c r="P54" s="26" t="str">
        <f aca="false">IF(O54="","",O54-IF(N54="",0,N54))</f>
        <v/>
      </c>
      <c r="Q54" s="27" t="str">
        <f aca="false">IFERROR(IF(P54="","",P54/K54),"")</f>
        <v/>
      </c>
      <c r="R54" s="19"/>
      <c r="S54" s="18"/>
      <c r="T54" s="28"/>
    </row>
    <row r="55" customFormat="false" ht="18" hidden="false" customHeight="true" outlineLevel="0" collapsed="false">
      <c r="A55" s="3" t="str">
        <f aca="false">IF(B55&lt;&gt;"",ROW()-2,"")</f>
        <v/>
      </c>
      <c r="B55" s="4"/>
      <c r="C55" s="4"/>
      <c r="D55" s="5"/>
      <c r="E55" s="6"/>
      <c r="F55" s="5"/>
      <c r="G55" s="7"/>
      <c r="H55" s="8"/>
      <c r="I55" s="8"/>
      <c r="J55" s="9"/>
      <c r="K55" s="10" t="str">
        <f aca="false">IF(H55*J55=0,"",H55*J55)</f>
        <v/>
      </c>
      <c r="L55" s="11"/>
      <c r="M55" s="11"/>
      <c r="N55" s="10" t="str">
        <f aca="false">IF(L55+M55=0,"",L55+M55)</f>
        <v/>
      </c>
      <c r="O55" s="12" t="str">
        <f aca="false">IF(OR(H55="",I55="",J55=""),"",IF(F55="Long",(I55-H55)*J55*IF(G55="",1,G55),(H55-I55)*J55*IF(G55="",1,G55)))</f>
        <v/>
      </c>
      <c r="P55" s="13" t="str">
        <f aca="false">IF(O55="","",O55-IF(N55="",0,N55))</f>
        <v/>
      </c>
      <c r="Q55" s="14" t="str">
        <f aca="false">IFERROR(IF(P55="","",P55/K55),"")</f>
        <v/>
      </c>
      <c r="R55" s="6"/>
      <c r="S55" s="5"/>
      <c r="T55" s="15"/>
    </row>
    <row r="56" customFormat="false" ht="18" hidden="false" customHeight="true" outlineLevel="0" collapsed="false">
      <c r="A56" s="16" t="str">
        <f aca="false">IF(B56&lt;&gt;"",ROW()-2,"")</f>
        <v/>
      </c>
      <c r="B56" s="17"/>
      <c r="C56" s="17"/>
      <c r="D56" s="18"/>
      <c r="E56" s="19"/>
      <c r="F56" s="18"/>
      <c r="G56" s="20"/>
      <c r="H56" s="21"/>
      <c r="I56" s="21"/>
      <c r="J56" s="22"/>
      <c r="K56" s="23" t="str">
        <f aca="false">IF(H56*J56=0,"",H56*J56)</f>
        <v/>
      </c>
      <c r="L56" s="24"/>
      <c r="M56" s="24"/>
      <c r="N56" s="23" t="str">
        <f aca="false">IF(L56+M56=0,"",L56+M56)</f>
        <v/>
      </c>
      <c r="O56" s="25" t="str">
        <f aca="false">IF(OR(H56="",I56="",J56=""),"",IF(F56="Long",(I56-H56)*J56*IF(G56="",1,G56),(H56-I56)*J56*IF(G56="",1,G56)))</f>
        <v/>
      </c>
      <c r="P56" s="26" t="str">
        <f aca="false">IF(O56="","",O56-IF(N56="",0,N56))</f>
        <v/>
      </c>
      <c r="Q56" s="27" t="str">
        <f aca="false">IFERROR(IF(P56="","",P56/K56),"")</f>
        <v/>
      </c>
      <c r="R56" s="19"/>
      <c r="S56" s="18"/>
      <c r="T56" s="28"/>
    </row>
    <row r="57" customFormat="false" ht="18" hidden="false" customHeight="true" outlineLevel="0" collapsed="false">
      <c r="A57" s="3" t="str">
        <f aca="false">IF(B57&lt;&gt;"",ROW()-2,"")</f>
        <v/>
      </c>
      <c r="B57" s="4"/>
      <c r="C57" s="4"/>
      <c r="D57" s="5"/>
      <c r="E57" s="6"/>
      <c r="F57" s="5"/>
      <c r="G57" s="7"/>
      <c r="H57" s="8"/>
      <c r="I57" s="8"/>
      <c r="J57" s="9"/>
      <c r="K57" s="10" t="str">
        <f aca="false">IF(H57*J57=0,"",H57*J57)</f>
        <v/>
      </c>
      <c r="L57" s="11"/>
      <c r="M57" s="11"/>
      <c r="N57" s="10" t="str">
        <f aca="false">IF(L57+M57=0,"",L57+M57)</f>
        <v/>
      </c>
      <c r="O57" s="12" t="str">
        <f aca="false">IF(OR(H57="",I57="",J57=""),"",IF(F57="Long",(I57-H57)*J57*IF(G57="",1,G57),(H57-I57)*J57*IF(G57="",1,G57)))</f>
        <v/>
      </c>
      <c r="P57" s="13" t="str">
        <f aca="false">IF(O57="","",O57-IF(N57="",0,N57))</f>
        <v/>
      </c>
      <c r="Q57" s="14" t="str">
        <f aca="false">IFERROR(IF(P57="","",P57/K57),"")</f>
        <v/>
      </c>
      <c r="R57" s="6"/>
      <c r="S57" s="5"/>
      <c r="T57" s="15"/>
    </row>
    <row r="58" customFormat="false" ht="18" hidden="false" customHeight="true" outlineLevel="0" collapsed="false">
      <c r="A58" s="16" t="str">
        <f aca="false">IF(B58&lt;&gt;"",ROW()-2,"")</f>
        <v/>
      </c>
      <c r="B58" s="17"/>
      <c r="C58" s="17"/>
      <c r="D58" s="18"/>
      <c r="E58" s="19"/>
      <c r="F58" s="18"/>
      <c r="G58" s="20"/>
      <c r="H58" s="21"/>
      <c r="I58" s="21"/>
      <c r="J58" s="22"/>
      <c r="K58" s="23" t="str">
        <f aca="false">IF(H58*J58=0,"",H58*J58)</f>
        <v/>
      </c>
      <c r="L58" s="24"/>
      <c r="M58" s="24"/>
      <c r="N58" s="23" t="str">
        <f aca="false">IF(L58+M58=0,"",L58+M58)</f>
        <v/>
      </c>
      <c r="O58" s="25" t="str">
        <f aca="false">IF(OR(H58="",I58="",J58=""),"",IF(F58="Long",(I58-H58)*J58*IF(G58="",1,G58),(H58-I58)*J58*IF(G58="",1,G58)))</f>
        <v/>
      </c>
      <c r="P58" s="26" t="str">
        <f aca="false">IF(O58="","",O58-IF(N58="",0,N58))</f>
        <v/>
      </c>
      <c r="Q58" s="27" t="str">
        <f aca="false">IFERROR(IF(P58="","",P58/K58),"")</f>
        <v/>
      </c>
      <c r="R58" s="19"/>
      <c r="S58" s="18"/>
      <c r="T58" s="28"/>
    </row>
    <row r="59" customFormat="false" ht="18" hidden="false" customHeight="true" outlineLevel="0" collapsed="false">
      <c r="A59" s="3" t="str">
        <f aca="false">IF(B59&lt;&gt;"",ROW()-2,"")</f>
        <v/>
      </c>
      <c r="B59" s="4"/>
      <c r="C59" s="4"/>
      <c r="D59" s="5"/>
      <c r="E59" s="6"/>
      <c r="F59" s="5"/>
      <c r="G59" s="7"/>
      <c r="H59" s="8"/>
      <c r="I59" s="8"/>
      <c r="J59" s="9"/>
      <c r="K59" s="10" t="str">
        <f aca="false">IF(H59*J59=0,"",H59*J59)</f>
        <v/>
      </c>
      <c r="L59" s="11"/>
      <c r="M59" s="11"/>
      <c r="N59" s="10" t="str">
        <f aca="false">IF(L59+M59=0,"",L59+M59)</f>
        <v/>
      </c>
      <c r="O59" s="12" t="str">
        <f aca="false">IF(OR(H59="",I59="",J59=""),"",IF(F59="Long",(I59-H59)*J59*IF(G59="",1,G59),(H59-I59)*J59*IF(G59="",1,G59)))</f>
        <v/>
      </c>
      <c r="P59" s="13" t="str">
        <f aca="false">IF(O59="","",O59-IF(N59="",0,N59))</f>
        <v/>
      </c>
      <c r="Q59" s="14" t="str">
        <f aca="false">IFERROR(IF(P59="","",P59/K59),"")</f>
        <v/>
      </c>
      <c r="R59" s="6"/>
      <c r="S59" s="5"/>
      <c r="T59" s="15"/>
    </row>
    <row r="60" customFormat="false" ht="18" hidden="false" customHeight="true" outlineLevel="0" collapsed="false">
      <c r="A60" s="16" t="str">
        <f aca="false">IF(B60&lt;&gt;"",ROW()-2,"")</f>
        <v/>
      </c>
      <c r="B60" s="17"/>
      <c r="C60" s="17"/>
      <c r="D60" s="18"/>
      <c r="E60" s="19"/>
      <c r="F60" s="18"/>
      <c r="G60" s="20"/>
      <c r="H60" s="21"/>
      <c r="I60" s="21"/>
      <c r="J60" s="22"/>
      <c r="K60" s="23" t="str">
        <f aca="false">IF(H60*J60=0,"",H60*J60)</f>
        <v/>
      </c>
      <c r="L60" s="24"/>
      <c r="M60" s="24"/>
      <c r="N60" s="23" t="str">
        <f aca="false">IF(L60+M60=0,"",L60+M60)</f>
        <v/>
      </c>
      <c r="O60" s="25" t="str">
        <f aca="false">IF(OR(H60="",I60="",J60=""),"",IF(F60="Long",(I60-H60)*J60*IF(G60="",1,G60),(H60-I60)*J60*IF(G60="",1,G60)))</f>
        <v/>
      </c>
      <c r="P60" s="26" t="str">
        <f aca="false">IF(O60="","",O60-IF(N60="",0,N60))</f>
        <v/>
      </c>
      <c r="Q60" s="27" t="str">
        <f aca="false">IFERROR(IF(P60="","",P60/K60),"")</f>
        <v/>
      </c>
      <c r="R60" s="19"/>
      <c r="S60" s="18"/>
      <c r="T60" s="28"/>
    </row>
    <row r="61" customFormat="false" ht="18" hidden="false" customHeight="true" outlineLevel="0" collapsed="false">
      <c r="A61" s="3" t="str">
        <f aca="false">IF(B61&lt;&gt;"",ROW()-2,"")</f>
        <v/>
      </c>
      <c r="B61" s="4"/>
      <c r="C61" s="4"/>
      <c r="D61" s="5"/>
      <c r="E61" s="6"/>
      <c r="F61" s="5"/>
      <c r="G61" s="7"/>
      <c r="H61" s="8"/>
      <c r="I61" s="8"/>
      <c r="J61" s="9"/>
      <c r="K61" s="10" t="str">
        <f aca="false">IF(H61*J61=0,"",H61*J61)</f>
        <v/>
      </c>
      <c r="L61" s="11"/>
      <c r="M61" s="11"/>
      <c r="N61" s="10" t="str">
        <f aca="false">IF(L61+M61=0,"",L61+M61)</f>
        <v/>
      </c>
      <c r="O61" s="12" t="str">
        <f aca="false">IF(OR(H61="",I61="",J61=""),"",IF(F61="Long",(I61-H61)*J61*IF(G61="",1,G61),(H61-I61)*J61*IF(G61="",1,G61)))</f>
        <v/>
      </c>
      <c r="P61" s="13" t="str">
        <f aca="false">IF(O61="","",O61-IF(N61="",0,N61))</f>
        <v/>
      </c>
      <c r="Q61" s="14" t="str">
        <f aca="false">IFERROR(IF(P61="","",P61/K61),"")</f>
        <v/>
      </c>
      <c r="R61" s="6"/>
      <c r="S61" s="5"/>
      <c r="T61" s="15"/>
    </row>
    <row r="62" customFormat="false" ht="18" hidden="false" customHeight="true" outlineLevel="0" collapsed="false">
      <c r="A62" s="16" t="str">
        <f aca="false">IF(B62&lt;&gt;"",ROW()-2,"")</f>
        <v/>
      </c>
      <c r="B62" s="17"/>
      <c r="C62" s="17"/>
      <c r="D62" s="18"/>
      <c r="E62" s="19"/>
      <c r="F62" s="18"/>
      <c r="G62" s="20"/>
      <c r="H62" s="21"/>
      <c r="I62" s="21"/>
      <c r="J62" s="22"/>
      <c r="K62" s="23" t="str">
        <f aca="false">IF(H62*J62=0,"",H62*J62)</f>
        <v/>
      </c>
      <c r="L62" s="24"/>
      <c r="M62" s="24"/>
      <c r="N62" s="23" t="str">
        <f aca="false">IF(L62+M62=0,"",L62+M62)</f>
        <v/>
      </c>
      <c r="O62" s="25" t="str">
        <f aca="false">IF(OR(H62="",I62="",J62=""),"",IF(F62="Long",(I62-H62)*J62*IF(G62="",1,G62),(H62-I62)*J62*IF(G62="",1,G62)))</f>
        <v/>
      </c>
      <c r="P62" s="26" t="str">
        <f aca="false">IF(O62="","",O62-IF(N62="",0,N62))</f>
        <v/>
      </c>
      <c r="Q62" s="27" t="str">
        <f aca="false">IFERROR(IF(P62="","",P62/K62),"")</f>
        <v/>
      </c>
      <c r="R62" s="19"/>
      <c r="S62" s="18"/>
      <c r="T62" s="28"/>
    </row>
    <row r="63" customFormat="false" ht="18" hidden="false" customHeight="true" outlineLevel="0" collapsed="false">
      <c r="A63" s="3" t="str">
        <f aca="false">IF(B63&lt;&gt;"",ROW()-2,"")</f>
        <v/>
      </c>
      <c r="B63" s="4"/>
      <c r="C63" s="4"/>
      <c r="D63" s="5"/>
      <c r="E63" s="6"/>
      <c r="F63" s="5"/>
      <c r="G63" s="7"/>
      <c r="H63" s="8"/>
      <c r="I63" s="8"/>
      <c r="J63" s="9"/>
      <c r="K63" s="10" t="str">
        <f aca="false">IF(H63*J63=0,"",H63*J63)</f>
        <v/>
      </c>
      <c r="L63" s="11"/>
      <c r="M63" s="11"/>
      <c r="N63" s="10" t="str">
        <f aca="false">IF(L63+M63=0,"",L63+M63)</f>
        <v/>
      </c>
      <c r="O63" s="12" t="str">
        <f aca="false">IF(OR(H63="",I63="",J63=""),"",IF(F63="Long",(I63-H63)*J63*IF(G63="",1,G63),(H63-I63)*J63*IF(G63="",1,G63)))</f>
        <v/>
      </c>
      <c r="P63" s="13" t="str">
        <f aca="false">IF(O63="","",O63-IF(N63="",0,N63))</f>
        <v/>
      </c>
      <c r="Q63" s="14" t="str">
        <f aca="false">IFERROR(IF(P63="","",P63/K63),"")</f>
        <v/>
      </c>
      <c r="R63" s="6"/>
      <c r="S63" s="5"/>
      <c r="T63" s="15"/>
    </row>
    <row r="64" customFormat="false" ht="18" hidden="false" customHeight="true" outlineLevel="0" collapsed="false">
      <c r="A64" s="16" t="str">
        <f aca="false">IF(B64&lt;&gt;"",ROW()-2,"")</f>
        <v/>
      </c>
      <c r="B64" s="17"/>
      <c r="C64" s="17"/>
      <c r="D64" s="18"/>
      <c r="E64" s="19"/>
      <c r="F64" s="18"/>
      <c r="G64" s="20"/>
      <c r="H64" s="21"/>
      <c r="I64" s="21"/>
      <c r="J64" s="22"/>
      <c r="K64" s="23" t="str">
        <f aca="false">IF(H64*J64=0,"",H64*J64)</f>
        <v/>
      </c>
      <c r="L64" s="24"/>
      <c r="M64" s="24"/>
      <c r="N64" s="23" t="str">
        <f aca="false">IF(L64+M64=0,"",L64+M64)</f>
        <v/>
      </c>
      <c r="O64" s="25" t="str">
        <f aca="false">IF(OR(H64="",I64="",J64=""),"",IF(F64="Long",(I64-H64)*J64*IF(G64="",1,G64),(H64-I64)*J64*IF(G64="",1,G64)))</f>
        <v/>
      </c>
      <c r="P64" s="26" t="str">
        <f aca="false">IF(O64="","",O64-IF(N64="",0,N64))</f>
        <v/>
      </c>
      <c r="Q64" s="27" t="str">
        <f aca="false">IFERROR(IF(P64="","",P64/K64),"")</f>
        <v/>
      </c>
      <c r="R64" s="19"/>
      <c r="S64" s="18"/>
      <c r="T64" s="28"/>
    </row>
    <row r="65" customFormat="false" ht="18" hidden="false" customHeight="true" outlineLevel="0" collapsed="false">
      <c r="A65" s="3" t="str">
        <f aca="false">IF(B65&lt;&gt;"",ROW()-2,"")</f>
        <v/>
      </c>
      <c r="B65" s="4"/>
      <c r="C65" s="4"/>
      <c r="D65" s="5"/>
      <c r="E65" s="6"/>
      <c r="F65" s="5"/>
      <c r="G65" s="7"/>
      <c r="H65" s="8"/>
      <c r="I65" s="8"/>
      <c r="J65" s="9"/>
      <c r="K65" s="10" t="str">
        <f aca="false">IF(H65*J65=0,"",H65*J65)</f>
        <v/>
      </c>
      <c r="L65" s="11"/>
      <c r="M65" s="11"/>
      <c r="N65" s="10" t="str">
        <f aca="false">IF(L65+M65=0,"",L65+M65)</f>
        <v/>
      </c>
      <c r="O65" s="12" t="str">
        <f aca="false">IF(OR(H65="",I65="",J65=""),"",IF(F65="Long",(I65-H65)*J65*IF(G65="",1,G65),(H65-I65)*J65*IF(G65="",1,G65)))</f>
        <v/>
      </c>
      <c r="P65" s="13" t="str">
        <f aca="false">IF(O65="","",O65-IF(N65="",0,N65))</f>
        <v/>
      </c>
      <c r="Q65" s="14" t="str">
        <f aca="false">IFERROR(IF(P65="","",P65/K65),"")</f>
        <v/>
      </c>
      <c r="R65" s="6"/>
      <c r="S65" s="5"/>
      <c r="T65" s="15"/>
    </row>
    <row r="66" customFormat="false" ht="18" hidden="false" customHeight="true" outlineLevel="0" collapsed="false">
      <c r="A66" s="16" t="str">
        <f aca="false">IF(B66&lt;&gt;"",ROW()-2,"")</f>
        <v/>
      </c>
      <c r="B66" s="17"/>
      <c r="C66" s="17"/>
      <c r="D66" s="18"/>
      <c r="E66" s="19"/>
      <c r="F66" s="18"/>
      <c r="G66" s="20"/>
      <c r="H66" s="21"/>
      <c r="I66" s="21"/>
      <c r="J66" s="22"/>
      <c r="K66" s="23" t="str">
        <f aca="false">IF(H66*J66=0,"",H66*J66)</f>
        <v/>
      </c>
      <c r="L66" s="24"/>
      <c r="M66" s="24"/>
      <c r="N66" s="23" t="str">
        <f aca="false">IF(L66+M66=0,"",L66+M66)</f>
        <v/>
      </c>
      <c r="O66" s="25" t="str">
        <f aca="false">IF(OR(H66="",I66="",J66=""),"",IF(F66="Long",(I66-H66)*J66*IF(G66="",1,G66),(H66-I66)*J66*IF(G66="",1,G66)))</f>
        <v/>
      </c>
      <c r="P66" s="26" t="str">
        <f aca="false">IF(O66="","",O66-IF(N66="",0,N66))</f>
        <v/>
      </c>
      <c r="Q66" s="27" t="str">
        <f aca="false">IFERROR(IF(P66="","",P66/K66),"")</f>
        <v/>
      </c>
      <c r="R66" s="19"/>
      <c r="S66" s="18"/>
      <c r="T66" s="28"/>
    </row>
    <row r="67" customFormat="false" ht="18" hidden="false" customHeight="true" outlineLevel="0" collapsed="false">
      <c r="A67" s="3" t="str">
        <f aca="false">IF(B67&lt;&gt;"",ROW()-2,"")</f>
        <v/>
      </c>
      <c r="B67" s="4"/>
      <c r="C67" s="4"/>
      <c r="D67" s="5"/>
      <c r="E67" s="6"/>
      <c r="F67" s="5"/>
      <c r="G67" s="7"/>
      <c r="H67" s="8"/>
      <c r="I67" s="8"/>
      <c r="J67" s="9"/>
      <c r="K67" s="10" t="str">
        <f aca="false">IF(H67*J67=0,"",H67*J67)</f>
        <v/>
      </c>
      <c r="L67" s="11"/>
      <c r="M67" s="11"/>
      <c r="N67" s="10" t="str">
        <f aca="false">IF(L67+M67=0,"",L67+M67)</f>
        <v/>
      </c>
      <c r="O67" s="12" t="str">
        <f aca="false">IF(OR(H67="",I67="",J67=""),"",IF(F67="Long",(I67-H67)*J67*IF(G67="",1,G67),(H67-I67)*J67*IF(G67="",1,G67)))</f>
        <v/>
      </c>
      <c r="P67" s="13" t="str">
        <f aca="false">IF(O67="","",O67-IF(N67="",0,N67))</f>
        <v/>
      </c>
      <c r="Q67" s="14" t="str">
        <f aca="false">IFERROR(IF(P67="","",P67/K67),"")</f>
        <v/>
      </c>
      <c r="R67" s="6"/>
      <c r="S67" s="5"/>
      <c r="T67" s="15"/>
    </row>
    <row r="68" customFormat="false" ht="18" hidden="false" customHeight="true" outlineLevel="0" collapsed="false">
      <c r="A68" s="16" t="str">
        <f aca="false">IF(B68&lt;&gt;"",ROW()-2,"")</f>
        <v/>
      </c>
      <c r="B68" s="17"/>
      <c r="C68" s="17"/>
      <c r="D68" s="18"/>
      <c r="E68" s="19"/>
      <c r="F68" s="18"/>
      <c r="G68" s="20"/>
      <c r="H68" s="21"/>
      <c r="I68" s="21"/>
      <c r="J68" s="22"/>
      <c r="K68" s="23" t="str">
        <f aca="false">IF(H68*J68=0,"",H68*J68)</f>
        <v/>
      </c>
      <c r="L68" s="24"/>
      <c r="M68" s="24"/>
      <c r="N68" s="23" t="str">
        <f aca="false">IF(L68+M68=0,"",L68+M68)</f>
        <v/>
      </c>
      <c r="O68" s="25" t="str">
        <f aca="false">IF(OR(H68="",I68="",J68=""),"",IF(F68="Long",(I68-H68)*J68*IF(G68="",1,G68),(H68-I68)*J68*IF(G68="",1,G68)))</f>
        <v/>
      </c>
      <c r="P68" s="26" t="str">
        <f aca="false">IF(O68="","",O68-IF(N68="",0,N68))</f>
        <v/>
      </c>
      <c r="Q68" s="27" t="str">
        <f aca="false">IFERROR(IF(P68="","",P68/K68),"")</f>
        <v/>
      </c>
      <c r="R68" s="19"/>
      <c r="S68" s="18"/>
      <c r="T68" s="28"/>
    </row>
    <row r="69" customFormat="false" ht="18" hidden="false" customHeight="true" outlineLevel="0" collapsed="false">
      <c r="A69" s="3" t="str">
        <f aca="false">IF(B69&lt;&gt;"",ROW()-2,"")</f>
        <v/>
      </c>
      <c r="B69" s="4"/>
      <c r="C69" s="4"/>
      <c r="D69" s="5"/>
      <c r="E69" s="6"/>
      <c r="F69" s="5"/>
      <c r="G69" s="7"/>
      <c r="H69" s="8"/>
      <c r="I69" s="8"/>
      <c r="J69" s="9"/>
      <c r="K69" s="10" t="str">
        <f aca="false">IF(H69*J69=0,"",H69*J69)</f>
        <v/>
      </c>
      <c r="L69" s="11"/>
      <c r="M69" s="11"/>
      <c r="N69" s="10" t="str">
        <f aca="false">IF(L69+M69=0,"",L69+M69)</f>
        <v/>
      </c>
      <c r="O69" s="12" t="str">
        <f aca="false">IF(OR(H69="",I69="",J69=""),"",IF(F69="Long",(I69-H69)*J69*IF(G69="",1,G69),(H69-I69)*J69*IF(G69="",1,G69)))</f>
        <v/>
      </c>
      <c r="P69" s="13" t="str">
        <f aca="false">IF(O69="","",O69-IF(N69="",0,N69))</f>
        <v/>
      </c>
      <c r="Q69" s="14" t="str">
        <f aca="false">IFERROR(IF(P69="","",P69/K69),"")</f>
        <v/>
      </c>
      <c r="R69" s="6"/>
      <c r="S69" s="5"/>
      <c r="T69" s="15"/>
    </row>
    <row r="70" customFormat="false" ht="18" hidden="false" customHeight="true" outlineLevel="0" collapsed="false">
      <c r="A70" s="16" t="str">
        <f aca="false">IF(B70&lt;&gt;"",ROW()-2,"")</f>
        <v/>
      </c>
      <c r="B70" s="17"/>
      <c r="C70" s="17"/>
      <c r="D70" s="18"/>
      <c r="E70" s="19"/>
      <c r="F70" s="18"/>
      <c r="G70" s="20"/>
      <c r="H70" s="21"/>
      <c r="I70" s="21"/>
      <c r="J70" s="22"/>
      <c r="K70" s="23" t="str">
        <f aca="false">IF(H70*J70=0,"",H70*J70)</f>
        <v/>
      </c>
      <c r="L70" s="24"/>
      <c r="M70" s="24"/>
      <c r="N70" s="23" t="str">
        <f aca="false">IF(L70+M70=0,"",L70+M70)</f>
        <v/>
      </c>
      <c r="O70" s="25" t="str">
        <f aca="false">IF(OR(H70="",I70="",J70=""),"",IF(F70="Long",(I70-H70)*J70*IF(G70="",1,G70),(H70-I70)*J70*IF(G70="",1,G70)))</f>
        <v/>
      </c>
      <c r="P70" s="26" t="str">
        <f aca="false">IF(O70="","",O70-IF(N70="",0,N70))</f>
        <v/>
      </c>
      <c r="Q70" s="27" t="str">
        <f aca="false">IFERROR(IF(P70="","",P70/K70),"")</f>
        <v/>
      </c>
      <c r="R70" s="19"/>
      <c r="S70" s="18"/>
      <c r="T70" s="28"/>
    </row>
    <row r="71" customFormat="false" ht="18" hidden="false" customHeight="true" outlineLevel="0" collapsed="false">
      <c r="A71" s="3" t="str">
        <f aca="false">IF(B71&lt;&gt;"",ROW()-2,"")</f>
        <v/>
      </c>
      <c r="B71" s="4"/>
      <c r="C71" s="4"/>
      <c r="D71" s="5"/>
      <c r="E71" s="6"/>
      <c r="F71" s="5"/>
      <c r="G71" s="7"/>
      <c r="H71" s="8"/>
      <c r="I71" s="8"/>
      <c r="J71" s="9"/>
      <c r="K71" s="10" t="str">
        <f aca="false">IF(H71*J71=0,"",H71*J71)</f>
        <v/>
      </c>
      <c r="L71" s="11"/>
      <c r="M71" s="11"/>
      <c r="N71" s="10" t="str">
        <f aca="false">IF(L71+M71=0,"",L71+M71)</f>
        <v/>
      </c>
      <c r="O71" s="12" t="str">
        <f aca="false">IF(OR(H71="",I71="",J71=""),"",IF(F71="Long",(I71-H71)*J71*IF(G71="",1,G71),(H71-I71)*J71*IF(G71="",1,G71)))</f>
        <v/>
      </c>
      <c r="P71" s="13" t="str">
        <f aca="false">IF(O71="","",O71-IF(N71="",0,N71))</f>
        <v/>
      </c>
      <c r="Q71" s="14" t="str">
        <f aca="false">IFERROR(IF(P71="","",P71/K71),"")</f>
        <v/>
      </c>
      <c r="R71" s="6"/>
      <c r="S71" s="5"/>
      <c r="T71" s="15"/>
    </row>
    <row r="72" customFormat="false" ht="18" hidden="false" customHeight="true" outlineLevel="0" collapsed="false">
      <c r="A72" s="16" t="str">
        <f aca="false">IF(B72&lt;&gt;"",ROW()-2,"")</f>
        <v/>
      </c>
      <c r="B72" s="17"/>
      <c r="C72" s="17"/>
      <c r="D72" s="18"/>
      <c r="E72" s="19"/>
      <c r="F72" s="18"/>
      <c r="G72" s="20"/>
      <c r="H72" s="21"/>
      <c r="I72" s="21"/>
      <c r="J72" s="22"/>
      <c r="K72" s="23" t="str">
        <f aca="false">IF(H72*J72=0,"",H72*J72)</f>
        <v/>
      </c>
      <c r="L72" s="24"/>
      <c r="M72" s="24"/>
      <c r="N72" s="23" t="str">
        <f aca="false">IF(L72+M72=0,"",L72+M72)</f>
        <v/>
      </c>
      <c r="O72" s="25" t="str">
        <f aca="false">IF(OR(H72="",I72="",J72=""),"",IF(F72="Long",(I72-H72)*J72*IF(G72="",1,G72),(H72-I72)*J72*IF(G72="",1,G72)))</f>
        <v/>
      </c>
      <c r="P72" s="26" t="str">
        <f aca="false">IF(O72="","",O72-IF(N72="",0,N72))</f>
        <v/>
      </c>
      <c r="Q72" s="27" t="str">
        <f aca="false">IFERROR(IF(P72="","",P72/K72),"")</f>
        <v/>
      </c>
      <c r="R72" s="19"/>
      <c r="S72" s="18"/>
      <c r="T72" s="28"/>
    </row>
    <row r="73" customFormat="false" ht="18" hidden="false" customHeight="true" outlineLevel="0" collapsed="false">
      <c r="A73" s="3" t="str">
        <f aca="false">IF(B73&lt;&gt;"",ROW()-2,"")</f>
        <v/>
      </c>
      <c r="B73" s="4"/>
      <c r="C73" s="4"/>
      <c r="D73" s="5"/>
      <c r="E73" s="6"/>
      <c r="F73" s="5"/>
      <c r="G73" s="7"/>
      <c r="H73" s="8"/>
      <c r="I73" s="8"/>
      <c r="J73" s="9"/>
      <c r="K73" s="10" t="str">
        <f aca="false">IF(H73*J73=0,"",H73*J73)</f>
        <v/>
      </c>
      <c r="L73" s="11"/>
      <c r="M73" s="11"/>
      <c r="N73" s="10" t="str">
        <f aca="false">IF(L73+M73=0,"",L73+M73)</f>
        <v/>
      </c>
      <c r="O73" s="12" t="str">
        <f aca="false">IF(OR(H73="",I73="",J73=""),"",IF(F73="Long",(I73-H73)*J73*IF(G73="",1,G73),(H73-I73)*J73*IF(G73="",1,G73)))</f>
        <v/>
      </c>
      <c r="P73" s="13" t="str">
        <f aca="false">IF(O73="","",O73-IF(N73="",0,N73))</f>
        <v/>
      </c>
      <c r="Q73" s="14" t="str">
        <f aca="false">IFERROR(IF(P73="","",P73/K73),"")</f>
        <v/>
      </c>
      <c r="R73" s="6"/>
      <c r="S73" s="5"/>
      <c r="T73" s="15"/>
    </row>
    <row r="74" customFormat="false" ht="18" hidden="false" customHeight="true" outlineLevel="0" collapsed="false">
      <c r="A74" s="16" t="str">
        <f aca="false">IF(B74&lt;&gt;"",ROW()-2,"")</f>
        <v/>
      </c>
      <c r="B74" s="17"/>
      <c r="C74" s="17"/>
      <c r="D74" s="18"/>
      <c r="E74" s="19"/>
      <c r="F74" s="18"/>
      <c r="G74" s="20"/>
      <c r="H74" s="21"/>
      <c r="I74" s="21"/>
      <c r="J74" s="22"/>
      <c r="K74" s="23" t="str">
        <f aca="false">IF(H74*J74=0,"",H74*J74)</f>
        <v/>
      </c>
      <c r="L74" s="24"/>
      <c r="M74" s="24"/>
      <c r="N74" s="23" t="str">
        <f aca="false">IF(L74+M74=0,"",L74+M74)</f>
        <v/>
      </c>
      <c r="O74" s="25" t="str">
        <f aca="false">IF(OR(H74="",I74="",J74=""),"",IF(F74="Long",(I74-H74)*J74*IF(G74="",1,G74),(H74-I74)*J74*IF(G74="",1,G74)))</f>
        <v/>
      </c>
      <c r="P74" s="26" t="str">
        <f aca="false">IF(O74="","",O74-IF(N74="",0,N74))</f>
        <v/>
      </c>
      <c r="Q74" s="27" t="str">
        <f aca="false">IFERROR(IF(P74="","",P74/K74),"")</f>
        <v/>
      </c>
      <c r="R74" s="19"/>
      <c r="S74" s="18"/>
      <c r="T74" s="28"/>
    </row>
    <row r="75" customFormat="false" ht="18" hidden="false" customHeight="true" outlineLevel="0" collapsed="false">
      <c r="A75" s="3" t="str">
        <f aca="false">IF(B75&lt;&gt;"",ROW()-2,"")</f>
        <v/>
      </c>
      <c r="B75" s="4"/>
      <c r="C75" s="4"/>
      <c r="D75" s="5"/>
      <c r="E75" s="6"/>
      <c r="F75" s="5"/>
      <c r="G75" s="7"/>
      <c r="H75" s="8"/>
      <c r="I75" s="8"/>
      <c r="J75" s="9"/>
      <c r="K75" s="10" t="str">
        <f aca="false">IF(H75*J75=0,"",H75*J75)</f>
        <v/>
      </c>
      <c r="L75" s="11"/>
      <c r="M75" s="11"/>
      <c r="N75" s="10" t="str">
        <f aca="false">IF(L75+M75=0,"",L75+M75)</f>
        <v/>
      </c>
      <c r="O75" s="12" t="str">
        <f aca="false">IF(OR(H75="",I75="",J75=""),"",IF(F75="Long",(I75-H75)*J75*IF(G75="",1,G75),(H75-I75)*J75*IF(G75="",1,G75)))</f>
        <v/>
      </c>
      <c r="P75" s="13" t="str">
        <f aca="false">IF(O75="","",O75-IF(N75="",0,N75))</f>
        <v/>
      </c>
      <c r="Q75" s="14" t="str">
        <f aca="false">IFERROR(IF(P75="","",P75/K75),"")</f>
        <v/>
      </c>
      <c r="R75" s="6"/>
      <c r="S75" s="5"/>
      <c r="T75" s="15"/>
    </row>
    <row r="76" customFormat="false" ht="18" hidden="false" customHeight="true" outlineLevel="0" collapsed="false">
      <c r="A76" s="16" t="str">
        <f aca="false">IF(B76&lt;&gt;"",ROW()-2,"")</f>
        <v/>
      </c>
      <c r="B76" s="17"/>
      <c r="C76" s="17"/>
      <c r="D76" s="18"/>
      <c r="E76" s="19"/>
      <c r="F76" s="18"/>
      <c r="G76" s="20"/>
      <c r="H76" s="21"/>
      <c r="I76" s="21"/>
      <c r="J76" s="22"/>
      <c r="K76" s="23" t="str">
        <f aca="false">IF(H76*J76=0,"",H76*J76)</f>
        <v/>
      </c>
      <c r="L76" s="24"/>
      <c r="M76" s="24"/>
      <c r="N76" s="23" t="str">
        <f aca="false">IF(L76+M76=0,"",L76+M76)</f>
        <v/>
      </c>
      <c r="O76" s="25" t="str">
        <f aca="false">IF(OR(H76="",I76="",J76=""),"",IF(F76="Long",(I76-H76)*J76*IF(G76="",1,G76),(H76-I76)*J76*IF(G76="",1,G76)))</f>
        <v/>
      </c>
      <c r="P76" s="26" t="str">
        <f aca="false">IF(O76="","",O76-IF(N76="",0,N76))</f>
        <v/>
      </c>
      <c r="Q76" s="27" t="str">
        <f aca="false">IFERROR(IF(P76="","",P76/K76),"")</f>
        <v/>
      </c>
      <c r="R76" s="19"/>
      <c r="S76" s="18"/>
      <c r="T76" s="28"/>
    </row>
    <row r="77" customFormat="false" ht="18" hidden="false" customHeight="true" outlineLevel="0" collapsed="false">
      <c r="A77" s="3" t="str">
        <f aca="false">IF(B77&lt;&gt;"",ROW()-2,"")</f>
        <v/>
      </c>
      <c r="B77" s="4"/>
      <c r="C77" s="4"/>
      <c r="D77" s="5"/>
      <c r="E77" s="6"/>
      <c r="F77" s="5"/>
      <c r="G77" s="7"/>
      <c r="H77" s="8"/>
      <c r="I77" s="8"/>
      <c r="J77" s="9"/>
      <c r="K77" s="10" t="str">
        <f aca="false">IF(H77*J77=0,"",H77*J77)</f>
        <v/>
      </c>
      <c r="L77" s="11"/>
      <c r="M77" s="11"/>
      <c r="N77" s="10" t="str">
        <f aca="false">IF(L77+M77=0,"",L77+M77)</f>
        <v/>
      </c>
      <c r="O77" s="12" t="str">
        <f aca="false">IF(OR(H77="",I77="",J77=""),"",IF(F77="Long",(I77-H77)*J77*IF(G77="",1,G77),(H77-I77)*J77*IF(G77="",1,G77)))</f>
        <v/>
      </c>
      <c r="P77" s="13" t="str">
        <f aca="false">IF(O77="","",O77-IF(N77="",0,N77))</f>
        <v/>
      </c>
      <c r="Q77" s="14" t="str">
        <f aca="false">IFERROR(IF(P77="","",P77/K77),"")</f>
        <v/>
      </c>
      <c r="R77" s="6"/>
      <c r="S77" s="5"/>
      <c r="T77" s="15"/>
    </row>
    <row r="78" customFormat="false" ht="18" hidden="false" customHeight="true" outlineLevel="0" collapsed="false">
      <c r="A78" s="16" t="str">
        <f aca="false">IF(B78&lt;&gt;"",ROW()-2,"")</f>
        <v/>
      </c>
      <c r="B78" s="17"/>
      <c r="C78" s="17"/>
      <c r="D78" s="18"/>
      <c r="E78" s="19"/>
      <c r="F78" s="18"/>
      <c r="G78" s="20"/>
      <c r="H78" s="21"/>
      <c r="I78" s="21"/>
      <c r="J78" s="22"/>
      <c r="K78" s="23" t="str">
        <f aca="false">IF(H78*J78=0,"",H78*J78)</f>
        <v/>
      </c>
      <c r="L78" s="24"/>
      <c r="M78" s="24"/>
      <c r="N78" s="23" t="str">
        <f aca="false">IF(L78+M78=0,"",L78+M78)</f>
        <v/>
      </c>
      <c r="O78" s="25" t="str">
        <f aca="false">IF(OR(H78="",I78="",J78=""),"",IF(F78="Long",(I78-H78)*J78*IF(G78="",1,G78),(H78-I78)*J78*IF(G78="",1,G78)))</f>
        <v/>
      </c>
      <c r="P78" s="26" t="str">
        <f aca="false">IF(O78="","",O78-IF(N78="",0,N78))</f>
        <v/>
      </c>
      <c r="Q78" s="27" t="str">
        <f aca="false">IFERROR(IF(P78="","",P78/K78),"")</f>
        <v/>
      </c>
      <c r="R78" s="19"/>
      <c r="S78" s="18"/>
      <c r="T78" s="28"/>
    </row>
    <row r="79" customFormat="false" ht="18" hidden="false" customHeight="true" outlineLevel="0" collapsed="false">
      <c r="A79" s="3" t="str">
        <f aca="false">IF(B79&lt;&gt;"",ROW()-2,"")</f>
        <v/>
      </c>
      <c r="B79" s="4"/>
      <c r="C79" s="4"/>
      <c r="D79" s="5"/>
      <c r="E79" s="6"/>
      <c r="F79" s="5"/>
      <c r="G79" s="7"/>
      <c r="H79" s="8"/>
      <c r="I79" s="8"/>
      <c r="J79" s="9"/>
      <c r="K79" s="10" t="str">
        <f aca="false">IF(H79*J79=0,"",H79*J79)</f>
        <v/>
      </c>
      <c r="L79" s="11"/>
      <c r="M79" s="11"/>
      <c r="N79" s="10" t="str">
        <f aca="false">IF(L79+M79=0,"",L79+M79)</f>
        <v/>
      </c>
      <c r="O79" s="12" t="str">
        <f aca="false">IF(OR(H79="",I79="",J79=""),"",IF(F79="Long",(I79-H79)*J79*IF(G79="",1,G79),(H79-I79)*J79*IF(G79="",1,G79)))</f>
        <v/>
      </c>
      <c r="P79" s="13" t="str">
        <f aca="false">IF(O79="","",O79-IF(N79="",0,N79))</f>
        <v/>
      </c>
      <c r="Q79" s="14" t="str">
        <f aca="false">IFERROR(IF(P79="","",P79/K79),"")</f>
        <v/>
      </c>
      <c r="R79" s="6"/>
      <c r="S79" s="5"/>
      <c r="T79" s="15"/>
    </row>
    <row r="80" customFormat="false" ht="18" hidden="false" customHeight="true" outlineLevel="0" collapsed="false">
      <c r="A80" s="16" t="str">
        <f aca="false">IF(B80&lt;&gt;"",ROW()-2,"")</f>
        <v/>
      </c>
      <c r="B80" s="17"/>
      <c r="C80" s="17"/>
      <c r="D80" s="18"/>
      <c r="E80" s="19"/>
      <c r="F80" s="18"/>
      <c r="G80" s="20"/>
      <c r="H80" s="21"/>
      <c r="I80" s="21"/>
      <c r="J80" s="22"/>
      <c r="K80" s="23" t="str">
        <f aca="false">IF(H80*J80=0,"",H80*J80)</f>
        <v/>
      </c>
      <c r="L80" s="24"/>
      <c r="M80" s="24"/>
      <c r="N80" s="23" t="str">
        <f aca="false">IF(L80+M80=0,"",L80+M80)</f>
        <v/>
      </c>
      <c r="O80" s="25" t="str">
        <f aca="false">IF(OR(H80="",I80="",J80=""),"",IF(F80="Long",(I80-H80)*J80*IF(G80="",1,G80),(H80-I80)*J80*IF(G80="",1,G80)))</f>
        <v/>
      </c>
      <c r="P80" s="26" t="str">
        <f aca="false">IF(O80="","",O80-IF(N80="",0,N80))</f>
        <v/>
      </c>
      <c r="Q80" s="27" t="str">
        <f aca="false">IFERROR(IF(P80="","",P80/K80),"")</f>
        <v/>
      </c>
      <c r="R80" s="19"/>
      <c r="S80" s="18"/>
      <c r="T80" s="28"/>
    </row>
    <row r="81" customFormat="false" ht="18" hidden="false" customHeight="true" outlineLevel="0" collapsed="false">
      <c r="A81" s="3" t="str">
        <f aca="false">IF(B81&lt;&gt;"",ROW()-2,"")</f>
        <v/>
      </c>
      <c r="B81" s="4"/>
      <c r="C81" s="4"/>
      <c r="D81" s="5"/>
      <c r="E81" s="6"/>
      <c r="F81" s="5"/>
      <c r="G81" s="7"/>
      <c r="H81" s="8"/>
      <c r="I81" s="8"/>
      <c r="J81" s="9"/>
      <c r="K81" s="10" t="str">
        <f aca="false">IF(H81*J81=0,"",H81*J81)</f>
        <v/>
      </c>
      <c r="L81" s="11"/>
      <c r="M81" s="11"/>
      <c r="N81" s="10" t="str">
        <f aca="false">IF(L81+M81=0,"",L81+M81)</f>
        <v/>
      </c>
      <c r="O81" s="12" t="str">
        <f aca="false">IF(OR(H81="",I81="",J81=""),"",IF(F81="Long",(I81-H81)*J81*IF(G81="",1,G81),(H81-I81)*J81*IF(G81="",1,G81)))</f>
        <v/>
      </c>
      <c r="P81" s="13" t="str">
        <f aca="false">IF(O81="","",O81-IF(N81="",0,N81))</f>
        <v/>
      </c>
      <c r="Q81" s="14" t="str">
        <f aca="false">IFERROR(IF(P81="","",P81/K81),"")</f>
        <v/>
      </c>
      <c r="R81" s="6"/>
      <c r="S81" s="5"/>
      <c r="T81" s="15"/>
    </row>
    <row r="82" customFormat="false" ht="18" hidden="false" customHeight="true" outlineLevel="0" collapsed="false">
      <c r="A82" s="16" t="str">
        <f aca="false">IF(B82&lt;&gt;"",ROW()-2,"")</f>
        <v/>
      </c>
      <c r="B82" s="17"/>
      <c r="C82" s="17"/>
      <c r="D82" s="18"/>
      <c r="E82" s="19"/>
      <c r="F82" s="18"/>
      <c r="G82" s="20"/>
      <c r="H82" s="21"/>
      <c r="I82" s="21"/>
      <c r="J82" s="22"/>
      <c r="K82" s="23" t="str">
        <f aca="false">IF(H82*J82=0,"",H82*J82)</f>
        <v/>
      </c>
      <c r="L82" s="24"/>
      <c r="M82" s="24"/>
      <c r="N82" s="23" t="str">
        <f aca="false">IF(L82+M82=0,"",L82+M82)</f>
        <v/>
      </c>
      <c r="O82" s="25" t="str">
        <f aca="false">IF(OR(H82="",I82="",J82=""),"",IF(F82="Long",(I82-H82)*J82*IF(G82="",1,G82),(H82-I82)*J82*IF(G82="",1,G82)))</f>
        <v/>
      </c>
      <c r="P82" s="26" t="str">
        <f aca="false">IF(O82="","",O82-IF(N82="",0,N82))</f>
        <v/>
      </c>
      <c r="Q82" s="27" t="str">
        <f aca="false">IFERROR(IF(P82="","",P82/K82),"")</f>
        <v/>
      </c>
      <c r="R82" s="19"/>
      <c r="S82" s="18"/>
      <c r="T82" s="28"/>
    </row>
    <row r="83" customFormat="false" ht="18" hidden="false" customHeight="true" outlineLevel="0" collapsed="false">
      <c r="A83" s="3" t="str">
        <f aca="false">IF(B83&lt;&gt;"",ROW()-2,"")</f>
        <v/>
      </c>
      <c r="B83" s="4"/>
      <c r="C83" s="4"/>
      <c r="D83" s="5"/>
      <c r="E83" s="6"/>
      <c r="F83" s="5"/>
      <c r="G83" s="7"/>
      <c r="H83" s="8"/>
      <c r="I83" s="8"/>
      <c r="J83" s="9"/>
      <c r="K83" s="10" t="str">
        <f aca="false">IF(H83*J83=0,"",H83*J83)</f>
        <v/>
      </c>
      <c r="L83" s="11"/>
      <c r="M83" s="11"/>
      <c r="N83" s="10" t="str">
        <f aca="false">IF(L83+M83=0,"",L83+M83)</f>
        <v/>
      </c>
      <c r="O83" s="12" t="str">
        <f aca="false">IF(OR(H83="",I83="",J83=""),"",IF(F83="Long",(I83-H83)*J83*IF(G83="",1,G83),(H83-I83)*J83*IF(G83="",1,G83)))</f>
        <v/>
      </c>
      <c r="P83" s="13" t="str">
        <f aca="false">IF(O83="","",O83-IF(N83="",0,N83))</f>
        <v/>
      </c>
      <c r="Q83" s="14" t="str">
        <f aca="false">IFERROR(IF(P83="","",P83/K83),"")</f>
        <v/>
      </c>
      <c r="R83" s="6"/>
      <c r="S83" s="5"/>
      <c r="T83" s="15"/>
    </row>
    <row r="84" customFormat="false" ht="18" hidden="false" customHeight="true" outlineLevel="0" collapsed="false">
      <c r="A84" s="16" t="str">
        <f aca="false">IF(B84&lt;&gt;"",ROW()-2,"")</f>
        <v/>
      </c>
      <c r="B84" s="17"/>
      <c r="C84" s="17"/>
      <c r="D84" s="18"/>
      <c r="E84" s="19"/>
      <c r="F84" s="18"/>
      <c r="G84" s="20"/>
      <c r="H84" s="21"/>
      <c r="I84" s="21"/>
      <c r="J84" s="22"/>
      <c r="K84" s="23" t="str">
        <f aca="false">IF(H84*J84=0,"",H84*J84)</f>
        <v/>
      </c>
      <c r="L84" s="24"/>
      <c r="M84" s="24"/>
      <c r="N84" s="23" t="str">
        <f aca="false">IF(L84+M84=0,"",L84+M84)</f>
        <v/>
      </c>
      <c r="O84" s="25" t="str">
        <f aca="false">IF(OR(H84="",I84="",J84=""),"",IF(F84="Long",(I84-H84)*J84*IF(G84="",1,G84),(H84-I84)*J84*IF(G84="",1,G84)))</f>
        <v/>
      </c>
      <c r="P84" s="26" t="str">
        <f aca="false">IF(O84="","",O84-IF(N84="",0,N84))</f>
        <v/>
      </c>
      <c r="Q84" s="27" t="str">
        <f aca="false">IFERROR(IF(P84="","",P84/K84),"")</f>
        <v/>
      </c>
      <c r="R84" s="19"/>
      <c r="S84" s="18"/>
      <c r="T84" s="28"/>
    </row>
    <row r="85" customFormat="false" ht="18" hidden="false" customHeight="true" outlineLevel="0" collapsed="false">
      <c r="A85" s="3" t="str">
        <f aca="false">IF(B85&lt;&gt;"",ROW()-2,"")</f>
        <v/>
      </c>
      <c r="B85" s="4"/>
      <c r="C85" s="4"/>
      <c r="D85" s="5"/>
      <c r="E85" s="6"/>
      <c r="F85" s="5"/>
      <c r="G85" s="7"/>
      <c r="H85" s="8"/>
      <c r="I85" s="8"/>
      <c r="J85" s="9"/>
      <c r="K85" s="10" t="str">
        <f aca="false">IF(H85*J85=0,"",H85*J85)</f>
        <v/>
      </c>
      <c r="L85" s="11"/>
      <c r="M85" s="11"/>
      <c r="N85" s="10" t="str">
        <f aca="false">IF(L85+M85=0,"",L85+M85)</f>
        <v/>
      </c>
      <c r="O85" s="12" t="str">
        <f aca="false">IF(OR(H85="",I85="",J85=""),"",IF(F85="Long",(I85-H85)*J85*IF(G85="",1,G85),(H85-I85)*J85*IF(G85="",1,G85)))</f>
        <v/>
      </c>
      <c r="P85" s="13" t="str">
        <f aca="false">IF(O85="","",O85-IF(N85="",0,N85))</f>
        <v/>
      </c>
      <c r="Q85" s="14" t="str">
        <f aca="false">IFERROR(IF(P85="","",P85/K85),"")</f>
        <v/>
      </c>
      <c r="R85" s="6"/>
      <c r="S85" s="5"/>
      <c r="T85" s="15"/>
    </row>
    <row r="86" customFormat="false" ht="18" hidden="false" customHeight="true" outlineLevel="0" collapsed="false">
      <c r="A86" s="16" t="str">
        <f aca="false">IF(B86&lt;&gt;"",ROW()-2,"")</f>
        <v/>
      </c>
      <c r="B86" s="17"/>
      <c r="C86" s="17"/>
      <c r="D86" s="18"/>
      <c r="E86" s="19"/>
      <c r="F86" s="18"/>
      <c r="G86" s="20"/>
      <c r="H86" s="21"/>
      <c r="I86" s="21"/>
      <c r="J86" s="22"/>
      <c r="K86" s="23" t="str">
        <f aca="false">IF(H86*J86=0,"",H86*J86)</f>
        <v/>
      </c>
      <c r="L86" s="24"/>
      <c r="M86" s="24"/>
      <c r="N86" s="23" t="str">
        <f aca="false">IF(L86+M86=0,"",L86+M86)</f>
        <v/>
      </c>
      <c r="O86" s="25" t="str">
        <f aca="false">IF(OR(H86="",I86="",J86=""),"",IF(F86="Long",(I86-H86)*J86*IF(G86="",1,G86),(H86-I86)*J86*IF(G86="",1,G86)))</f>
        <v/>
      </c>
      <c r="P86" s="26" t="str">
        <f aca="false">IF(O86="","",O86-IF(N86="",0,N86))</f>
        <v/>
      </c>
      <c r="Q86" s="27" t="str">
        <f aca="false">IFERROR(IF(P86="","",P86/K86),"")</f>
        <v/>
      </c>
      <c r="R86" s="19"/>
      <c r="S86" s="18"/>
      <c r="T86" s="28"/>
    </row>
    <row r="87" customFormat="false" ht="18" hidden="false" customHeight="true" outlineLevel="0" collapsed="false">
      <c r="A87" s="3" t="str">
        <f aca="false">IF(B87&lt;&gt;"",ROW()-2,"")</f>
        <v/>
      </c>
      <c r="B87" s="4"/>
      <c r="C87" s="4"/>
      <c r="D87" s="5"/>
      <c r="E87" s="6"/>
      <c r="F87" s="5"/>
      <c r="G87" s="7"/>
      <c r="H87" s="8"/>
      <c r="I87" s="8"/>
      <c r="J87" s="9"/>
      <c r="K87" s="10" t="str">
        <f aca="false">IF(H87*J87=0,"",H87*J87)</f>
        <v/>
      </c>
      <c r="L87" s="11"/>
      <c r="M87" s="11"/>
      <c r="N87" s="10" t="str">
        <f aca="false">IF(L87+M87=0,"",L87+M87)</f>
        <v/>
      </c>
      <c r="O87" s="12" t="str">
        <f aca="false">IF(OR(H87="",I87="",J87=""),"",IF(F87="Long",(I87-H87)*J87*IF(G87="",1,G87),(H87-I87)*J87*IF(G87="",1,G87)))</f>
        <v/>
      </c>
      <c r="P87" s="13" t="str">
        <f aca="false">IF(O87="","",O87-IF(N87="",0,N87))</f>
        <v/>
      </c>
      <c r="Q87" s="14" t="str">
        <f aca="false">IFERROR(IF(P87="","",P87/K87),"")</f>
        <v/>
      </c>
      <c r="R87" s="6"/>
      <c r="S87" s="5"/>
      <c r="T87" s="15"/>
    </row>
    <row r="88" customFormat="false" ht="18" hidden="false" customHeight="true" outlineLevel="0" collapsed="false">
      <c r="A88" s="16" t="str">
        <f aca="false">IF(B88&lt;&gt;"",ROW()-2,"")</f>
        <v/>
      </c>
      <c r="B88" s="17"/>
      <c r="C88" s="17"/>
      <c r="D88" s="18"/>
      <c r="E88" s="19"/>
      <c r="F88" s="18"/>
      <c r="G88" s="20"/>
      <c r="H88" s="21"/>
      <c r="I88" s="21"/>
      <c r="J88" s="22"/>
      <c r="K88" s="23" t="str">
        <f aca="false">IF(H88*J88=0,"",H88*J88)</f>
        <v/>
      </c>
      <c r="L88" s="24"/>
      <c r="M88" s="24"/>
      <c r="N88" s="23" t="str">
        <f aca="false">IF(L88+M88=0,"",L88+M88)</f>
        <v/>
      </c>
      <c r="O88" s="25" t="str">
        <f aca="false">IF(OR(H88="",I88="",J88=""),"",IF(F88="Long",(I88-H88)*J88*IF(G88="",1,G88),(H88-I88)*J88*IF(G88="",1,G88)))</f>
        <v/>
      </c>
      <c r="P88" s="26" t="str">
        <f aca="false">IF(O88="","",O88-IF(N88="",0,N88))</f>
        <v/>
      </c>
      <c r="Q88" s="27" t="str">
        <f aca="false">IFERROR(IF(P88="","",P88/K88),"")</f>
        <v/>
      </c>
      <c r="R88" s="19"/>
      <c r="S88" s="18"/>
      <c r="T88" s="28"/>
    </row>
    <row r="89" customFormat="false" ht="18" hidden="false" customHeight="true" outlineLevel="0" collapsed="false">
      <c r="A89" s="3" t="str">
        <f aca="false">IF(B89&lt;&gt;"",ROW()-2,"")</f>
        <v/>
      </c>
      <c r="B89" s="4"/>
      <c r="C89" s="4"/>
      <c r="D89" s="5"/>
      <c r="E89" s="6"/>
      <c r="F89" s="5"/>
      <c r="G89" s="7"/>
      <c r="H89" s="8"/>
      <c r="I89" s="8"/>
      <c r="J89" s="9"/>
      <c r="K89" s="10" t="str">
        <f aca="false">IF(H89*J89=0,"",H89*J89)</f>
        <v/>
      </c>
      <c r="L89" s="11"/>
      <c r="M89" s="11"/>
      <c r="N89" s="10" t="str">
        <f aca="false">IF(L89+M89=0,"",L89+M89)</f>
        <v/>
      </c>
      <c r="O89" s="12" t="str">
        <f aca="false">IF(OR(H89="",I89="",J89=""),"",IF(F89="Long",(I89-H89)*J89*IF(G89="",1,G89),(H89-I89)*J89*IF(G89="",1,G89)))</f>
        <v/>
      </c>
      <c r="P89" s="13" t="str">
        <f aca="false">IF(O89="","",O89-IF(N89="",0,N89))</f>
        <v/>
      </c>
      <c r="Q89" s="14" t="str">
        <f aca="false">IFERROR(IF(P89="","",P89/K89),"")</f>
        <v/>
      </c>
      <c r="R89" s="6"/>
      <c r="S89" s="5"/>
      <c r="T89" s="15"/>
    </row>
    <row r="90" customFormat="false" ht="18" hidden="false" customHeight="true" outlineLevel="0" collapsed="false">
      <c r="A90" s="16" t="str">
        <f aca="false">IF(B90&lt;&gt;"",ROW()-2,"")</f>
        <v/>
      </c>
      <c r="B90" s="17"/>
      <c r="C90" s="17"/>
      <c r="D90" s="18"/>
      <c r="E90" s="19"/>
      <c r="F90" s="18"/>
      <c r="G90" s="20"/>
      <c r="H90" s="21"/>
      <c r="I90" s="21"/>
      <c r="J90" s="22"/>
      <c r="K90" s="23" t="str">
        <f aca="false">IF(H90*J90=0,"",H90*J90)</f>
        <v/>
      </c>
      <c r="L90" s="24"/>
      <c r="M90" s="24"/>
      <c r="N90" s="23" t="str">
        <f aca="false">IF(L90+M90=0,"",L90+M90)</f>
        <v/>
      </c>
      <c r="O90" s="25" t="str">
        <f aca="false">IF(OR(H90="",I90="",J90=""),"",IF(F90="Long",(I90-H90)*J90*IF(G90="",1,G90),(H90-I90)*J90*IF(G90="",1,G90)))</f>
        <v/>
      </c>
      <c r="P90" s="26" t="str">
        <f aca="false">IF(O90="","",O90-IF(N90="",0,N90))</f>
        <v/>
      </c>
      <c r="Q90" s="27" t="str">
        <f aca="false">IFERROR(IF(P90="","",P90/K90),"")</f>
        <v/>
      </c>
      <c r="R90" s="19"/>
      <c r="S90" s="18"/>
      <c r="T90" s="28"/>
    </row>
    <row r="91" customFormat="false" ht="18" hidden="false" customHeight="true" outlineLevel="0" collapsed="false">
      <c r="A91" s="3" t="str">
        <f aca="false">IF(B91&lt;&gt;"",ROW()-2,"")</f>
        <v/>
      </c>
      <c r="B91" s="4"/>
      <c r="C91" s="4"/>
      <c r="D91" s="5"/>
      <c r="E91" s="6"/>
      <c r="F91" s="5"/>
      <c r="G91" s="7"/>
      <c r="H91" s="8"/>
      <c r="I91" s="8"/>
      <c r="J91" s="9"/>
      <c r="K91" s="10" t="str">
        <f aca="false">IF(H91*J91=0,"",H91*J91)</f>
        <v/>
      </c>
      <c r="L91" s="11"/>
      <c r="M91" s="11"/>
      <c r="N91" s="10" t="str">
        <f aca="false">IF(L91+M91=0,"",L91+M91)</f>
        <v/>
      </c>
      <c r="O91" s="12" t="str">
        <f aca="false">IF(OR(H91="",I91="",J91=""),"",IF(F91="Long",(I91-H91)*J91*IF(G91="",1,G91),(H91-I91)*J91*IF(G91="",1,G91)))</f>
        <v/>
      </c>
      <c r="P91" s="13" t="str">
        <f aca="false">IF(O91="","",O91-IF(N91="",0,N91))</f>
        <v/>
      </c>
      <c r="Q91" s="14" t="str">
        <f aca="false">IFERROR(IF(P91="","",P91/K91),"")</f>
        <v/>
      </c>
      <c r="R91" s="6"/>
      <c r="S91" s="5"/>
      <c r="T91" s="15"/>
    </row>
    <row r="92" customFormat="false" ht="18" hidden="false" customHeight="true" outlineLevel="0" collapsed="false">
      <c r="A92" s="16" t="str">
        <f aca="false">IF(B92&lt;&gt;"",ROW()-2,"")</f>
        <v/>
      </c>
      <c r="B92" s="17"/>
      <c r="C92" s="17"/>
      <c r="D92" s="18"/>
      <c r="E92" s="19"/>
      <c r="F92" s="18"/>
      <c r="G92" s="20"/>
      <c r="H92" s="21"/>
      <c r="I92" s="21"/>
      <c r="J92" s="22"/>
      <c r="K92" s="23" t="str">
        <f aca="false">IF(H92*J92=0,"",H92*J92)</f>
        <v/>
      </c>
      <c r="L92" s="24"/>
      <c r="M92" s="24"/>
      <c r="N92" s="23" t="str">
        <f aca="false">IF(L92+M92=0,"",L92+M92)</f>
        <v/>
      </c>
      <c r="O92" s="25" t="str">
        <f aca="false">IF(OR(H92="",I92="",J92=""),"",IF(F92="Long",(I92-H92)*J92*IF(G92="",1,G92),(H92-I92)*J92*IF(G92="",1,G92)))</f>
        <v/>
      </c>
      <c r="P92" s="26" t="str">
        <f aca="false">IF(O92="","",O92-IF(N92="",0,N92))</f>
        <v/>
      </c>
      <c r="Q92" s="27" t="str">
        <f aca="false">IFERROR(IF(P92="","",P92/K92),"")</f>
        <v/>
      </c>
      <c r="R92" s="19"/>
      <c r="S92" s="18"/>
      <c r="T92" s="28"/>
    </row>
    <row r="93" customFormat="false" ht="18" hidden="false" customHeight="true" outlineLevel="0" collapsed="false">
      <c r="A93" s="3" t="str">
        <f aca="false">IF(B93&lt;&gt;"",ROW()-2,"")</f>
        <v/>
      </c>
      <c r="B93" s="4"/>
      <c r="C93" s="4"/>
      <c r="D93" s="5"/>
      <c r="E93" s="6"/>
      <c r="F93" s="5"/>
      <c r="G93" s="7"/>
      <c r="H93" s="8"/>
      <c r="I93" s="8"/>
      <c r="J93" s="9"/>
      <c r="K93" s="10" t="str">
        <f aca="false">IF(H93*J93=0,"",H93*J93)</f>
        <v/>
      </c>
      <c r="L93" s="11"/>
      <c r="M93" s="11"/>
      <c r="N93" s="10" t="str">
        <f aca="false">IF(L93+M93=0,"",L93+M93)</f>
        <v/>
      </c>
      <c r="O93" s="12" t="str">
        <f aca="false">IF(OR(H93="",I93="",J93=""),"",IF(F93="Long",(I93-H93)*J93*IF(G93="",1,G93),(H93-I93)*J93*IF(G93="",1,G93)))</f>
        <v/>
      </c>
      <c r="P93" s="13" t="str">
        <f aca="false">IF(O93="","",O93-IF(N93="",0,N93))</f>
        <v/>
      </c>
      <c r="Q93" s="14" t="str">
        <f aca="false">IFERROR(IF(P93="","",P93/K93),"")</f>
        <v/>
      </c>
      <c r="R93" s="6"/>
      <c r="S93" s="5"/>
      <c r="T93" s="15"/>
    </row>
    <row r="94" customFormat="false" ht="18" hidden="false" customHeight="true" outlineLevel="0" collapsed="false">
      <c r="A94" s="16" t="str">
        <f aca="false">IF(B94&lt;&gt;"",ROW()-2,"")</f>
        <v/>
      </c>
      <c r="B94" s="17"/>
      <c r="C94" s="17"/>
      <c r="D94" s="18"/>
      <c r="E94" s="19"/>
      <c r="F94" s="18"/>
      <c r="G94" s="20"/>
      <c r="H94" s="21"/>
      <c r="I94" s="21"/>
      <c r="J94" s="22"/>
      <c r="K94" s="23" t="str">
        <f aca="false">IF(H94*J94=0,"",H94*J94)</f>
        <v/>
      </c>
      <c r="L94" s="24"/>
      <c r="M94" s="24"/>
      <c r="N94" s="23" t="str">
        <f aca="false">IF(L94+M94=0,"",L94+M94)</f>
        <v/>
      </c>
      <c r="O94" s="25" t="str">
        <f aca="false">IF(OR(H94="",I94="",J94=""),"",IF(F94="Long",(I94-H94)*J94*IF(G94="",1,G94),(H94-I94)*J94*IF(G94="",1,G94)))</f>
        <v/>
      </c>
      <c r="P94" s="26" t="str">
        <f aca="false">IF(O94="","",O94-IF(N94="",0,N94))</f>
        <v/>
      </c>
      <c r="Q94" s="27" t="str">
        <f aca="false">IFERROR(IF(P94="","",P94/K94),"")</f>
        <v/>
      </c>
      <c r="R94" s="19"/>
      <c r="S94" s="18"/>
      <c r="T94" s="28"/>
    </row>
    <row r="95" customFormat="false" ht="18" hidden="false" customHeight="true" outlineLevel="0" collapsed="false">
      <c r="A95" s="3" t="str">
        <f aca="false">IF(B95&lt;&gt;"",ROW()-2,"")</f>
        <v/>
      </c>
      <c r="B95" s="4"/>
      <c r="C95" s="4"/>
      <c r="D95" s="5"/>
      <c r="E95" s="6"/>
      <c r="F95" s="5"/>
      <c r="G95" s="7"/>
      <c r="H95" s="8"/>
      <c r="I95" s="8"/>
      <c r="J95" s="9"/>
      <c r="K95" s="10" t="str">
        <f aca="false">IF(H95*J95=0,"",H95*J95)</f>
        <v/>
      </c>
      <c r="L95" s="11"/>
      <c r="M95" s="11"/>
      <c r="N95" s="10" t="str">
        <f aca="false">IF(L95+M95=0,"",L95+M95)</f>
        <v/>
      </c>
      <c r="O95" s="12" t="str">
        <f aca="false">IF(OR(H95="",I95="",J95=""),"",IF(F95="Long",(I95-H95)*J95*IF(G95="",1,G95),(H95-I95)*J95*IF(G95="",1,G95)))</f>
        <v/>
      </c>
      <c r="P95" s="13" t="str">
        <f aca="false">IF(O95="","",O95-IF(N95="",0,N95))</f>
        <v/>
      </c>
      <c r="Q95" s="14" t="str">
        <f aca="false">IFERROR(IF(P95="","",P95/K95),"")</f>
        <v/>
      </c>
      <c r="R95" s="6"/>
      <c r="S95" s="5"/>
      <c r="T95" s="15"/>
    </row>
    <row r="96" customFormat="false" ht="18" hidden="false" customHeight="true" outlineLevel="0" collapsed="false">
      <c r="A96" s="16" t="str">
        <f aca="false">IF(B96&lt;&gt;"",ROW()-2,"")</f>
        <v/>
      </c>
      <c r="B96" s="17"/>
      <c r="C96" s="17"/>
      <c r="D96" s="18"/>
      <c r="E96" s="19"/>
      <c r="F96" s="18"/>
      <c r="G96" s="20"/>
      <c r="H96" s="21"/>
      <c r="I96" s="21"/>
      <c r="J96" s="22"/>
      <c r="K96" s="23" t="str">
        <f aca="false">IF(H96*J96=0,"",H96*J96)</f>
        <v/>
      </c>
      <c r="L96" s="24"/>
      <c r="M96" s="24"/>
      <c r="N96" s="23" t="str">
        <f aca="false">IF(L96+M96=0,"",L96+M96)</f>
        <v/>
      </c>
      <c r="O96" s="25" t="str">
        <f aca="false">IF(OR(H96="",I96="",J96=""),"",IF(F96="Long",(I96-H96)*J96*IF(G96="",1,G96),(H96-I96)*J96*IF(G96="",1,G96)))</f>
        <v/>
      </c>
      <c r="P96" s="26" t="str">
        <f aca="false">IF(O96="","",O96-IF(N96="",0,N96))</f>
        <v/>
      </c>
      <c r="Q96" s="27" t="str">
        <f aca="false">IFERROR(IF(P96="","",P96/K96),"")</f>
        <v/>
      </c>
      <c r="R96" s="19"/>
      <c r="S96" s="18"/>
      <c r="T96" s="28"/>
    </row>
    <row r="97" customFormat="false" ht="18" hidden="false" customHeight="true" outlineLevel="0" collapsed="false">
      <c r="A97" s="3" t="str">
        <f aca="false">IF(B97&lt;&gt;"",ROW()-2,"")</f>
        <v/>
      </c>
      <c r="B97" s="4"/>
      <c r="C97" s="4"/>
      <c r="D97" s="5"/>
      <c r="E97" s="6"/>
      <c r="F97" s="5"/>
      <c r="G97" s="7"/>
      <c r="H97" s="8"/>
      <c r="I97" s="8"/>
      <c r="J97" s="9"/>
      <c r="K97" s="10" t="str">
        <f aca="false">IF(H97*J97=0,"",H97*J97)</f>
        <v/>
      </c>
      <c r="L97" s="11"/>
      <c r="M97" s="11"/>
      <c r="N97" s="10" t="str">
        <f aca="false">IF(L97+M97=0,"",L97+M97)</f>
        <v/>
      </c>
      <c r="O97" s="12" t="str">
        <f aca="false">IF(OR(H97="",I97="",J97=""),"",IF(F97="Long",(I97-H97)*J97*IF(G97="",1,G97),(H97-I97)*J97*IF(G97="",1,G97)))</f>
        <v/>
      </c>
      <c r="P97" s="13" t="str">
        <f aca="false">IF(O97="","",O97-IF(N97="",0,N97))</f>
        <v/>
      </c>
      <c r="Q97" s="14" t="str">
        <f aca="false">IFERROR(IF(P97="","",P97/K97),"")</f>
        <v/>
      </c>
      <c r="R97" s="6"/>
      <c r="S97" s="5"/>
      <c r="T97" s="15"/>
    </row>
    <row r="98" customFormat="false" ht="18" hidden="false" customHeight="true" outlineLevel="0" collapsed="false">
      <c r="A98" s="16" t="str">
        <f aca="false">IF(B98&lt;&gt;"",ROW()-2,"")</f>
        <v/>
      </c>
      <c r="B98" s="17"/>
      <c r="C98" s="17"/>
      <c r="D98" s="18"/>
      <c r="E98" s="19"/>
      <c r="F98" s="18"/>
      <c r="G98" s="20"/>
      <c r="H98" s="21"/>
      <c r="I98" s="21"/>
      <c r="J98" s="22"/>
      <c r="K98" s="23" t="str">
        <f aca="false">IF(H98*J98=0,"",H98*J98)</f>
        <v/>
      </c>
      <c r="L98" s="24"/>
      <c r="M98" s="24"/>
      <c r="N98" s="23" t="str">
        <f aca="false">IF(L98+M98=0,"",L98+M98)</f>
        <v/>
      </c>
      <c r="O98" s="25" t="str">
        <f aca="false">IF(OR(H98="",I98="",J98=""),"",IF(F98="Long",(I98-H98)*J98*IF(G98="",1,G98),(H98-I98)*J98*IF(G98="",1,G98)))</f>
        <v/>
      </c>
      <c r="P98" s="26" t="str">
        <f aca="false">IF(O98="","",O98-IF(N98="",0,N98))</f>
        <v/>
      </c>
      <c r="Q98" s="27" t="str">
        <f aca="false">IFERROR(IF(P98="","",P98/K98),"")</f>
        <v/>
      </c>
      <c r="R98" s="19"/>
      <c r="S98" s="18"/>
      <c r="T98" s="28"/>
    </row>
    <row r="99" customFormat="false" ht="18" hidden="false" customHeight="true" outlineLevel="0" collapsed="false">
      <c r="A99" s="3" t="str">
        <f aca="false">IF(B99&lt;&gt;"",ROW()-2,"")</f>
        <v/>
      </c>
      <c r="B99" s="4"/>
      <c r="C99" s="4"/>
      <c r="D99" s="5"/>
      <c r="E99" s="6"/>
      <c r="F99" s="5"/>
      <c r="G99" s="7"/>
      <c r="H99" s="8"/>
      <c r="I99" s="8"/>
      <c r="J99" s="9"/>
      <c r="K99" s="10" t="str">
        <f aca="false">IF(H99*J99=0,"",H99*J99)</f>
        <v/>
      </c>
      <c r="L99" s="11"/>
      <c r="M99" s="11"/>
      <c r="N99" s="10" t="str">
        <f aca="false">IF(L99+M99=0,"",L99+M99)</f>
        <v/>
      </c>
      <c r="O99" s="12" t="str">
        <f aca="false">IF(OR(H99="",I99="",J99=""),"",IF(F99="Long",(I99-H99)*J99*IF(G99="",1,G99),(H99-I99)*J99*IF(G99="",1,G99)))</f>
        <v/>
      </c>
      <c r="P99" s="13" t="str">
        <f aca="false">IF(O99="","",O99-IF(N99="",0,N99))</f>
        <v/>
      </c>
      <c r="Q99" s="14" t="str">
        <f aca="false">IFERROR(IF(P99="","",P99/K99),"")</f>
        <v/>
      </c>
      <c r="R99" s="6"/>
      <c r="S99" s="5"/>
      <c r="T99" s="15"/>
    </row>
    <row r="100" customFormat="false" ht="18" hidden="false" customHeight="true" outlineLevel="0" collapsed="false">
      <c r="A100" s="16" t="str">
        <f aca="false">IF(B100&lt;&gt;"",ROW()-2,"")</f>
        <v/>
      </c>
      <c r="B100" s="17"/>
      <c r="C100" s="17"/>
      <c r="D100" s="18"/>
      <c r="E100" s="19"/>
      <c r="F100" s="18"/>
      <c r="G100" s="20"/>
      <c r="H100" s="21"/>
      <c r="I100" s="21"/>
      <c r="J100" s="22"/>
      <c r="K100" s="23" t="str">
        <f aca="false">IF(H100*J100=0,"",H100*J100)</f>
        <v/>
      </c>
      <c r="L100" s="24"/>
      <c r="M100" s="24"/>
      <c r="N100" s="23" t="str">
        <f aca="false">IF(L100+M100=0,"",L100+M100)</f>
        <v/>
      </c>
      <c r="O100" s="25" t="str">
        <f aca="false">IF(OR(H100="",I100="",J100=""),"",IF(F100="Long",(I100-H100)*J100*IF(G100="",1,G100),(H100-I100)*J100*IF(G100="",1,G100)))</f>
        <v/>
      </c>
      <c r="P100" s="26" t="str">
        <f aca="false">IF(O100="","",O100-IF(N100="",0,N100))</f>
        <v/>
      </c>
      <c r="Q100" s="27" t="str">
        <f aca="false">IFERROR(IF(P100="","",P100/K100),"")</f>
        <v/>
      </c>
      <c r="R100" s="19"/>
      <c r="S100" s="18"/>
      <c r="T100" s="28"/>
    </row>
    <row r="101" customFormat="false" ht="18" hidden="false" customHeight="true" outlineLevel="0" collapsed="false">
      <c r="A101" s="3" t="str">
        <f aca="false">IF(B101&lt;&gt;"",ROW()-2,"")</f>
        <v/>
      </c>
      <c r="B101" s="4"/>
      <c r="C101" s="4"/>
      <c r="D101" s="5"/>
      <c r="E101" s="6"/>
      <c r="F101" s="5"/>
      <c r="G101" s="7"/>
      <c r="H101" s="8"/>
      <c r="I101" s="8"/>
      <c r="J101" s="9"/>
      <c r="K101" s="10" t="str">
        <f aca="false">IF(H101*J101=0,"",H101*J101)</f>
        <v/>
      </c>
      <c r="L101" s="11"/>
      <c r="M101" s="11"/>
      <c r="N101" s="10" t="str">
        <f aca="false">IF(L101+M101=0,"",L101+M101)</f>
        <v/>
      </c>
      <c r="O101" s="12" t="str">
        <f aca="false">IF(OR(H101="",I101="",J101=""),"",IF(F101="Long",(I101-H101)*J101*IF(G101="",1,G101),(H101-I101)*J101*IF(G101="",1,G101)))</f>
        <v/>
      </c>
      <c r="P101" s="13" t="str">
        <f aca="false">IF(O101="","",O101-IF(N101="",0,N101))</f>
        <v/>
      </c>
      <c r="Q101" s="14" t="str">
        <f aca="false">IFERROR(IF(P101="","",P101/K101),"")</f>
        <v/>
      </c>
      <c r="R101" s="6"/>
      <c r="S101" s="5"/>
      <c r="T101" s="15"/>
    </row>
    <row r="102" customFormat="false" ht="18" hidden="false" customHeight="true" outlineLevel="0" collapsed="false">
      <c r="A102" s="16" t="str">
        <f aca="false">IF(B102&lt;&gt;"",ROW()-2,"")</f>
        <v/>
      </c>
      <c r="B102" s="17"/>
      <c r="C102" s="17"/>
      <c r="D102" s="18"/>
      <c r="E102" s="19"/>
      <c r="F102" s="18"/>
      <c r="G102" s="20"/>
      <c r="H102" s="21"/>
      <c r="I102" s="21"/>
      <c r="J102" s="22"/>
      <c r="K102" s="23" t="str">
        <f aca="false">IF(H102*J102=0,"",H102*J102)</f>
        <v/>
      </c>
      <c r="L102" s="24"/>
      <c r="M102" s="24"/>
      <c r="N102" s="23" t="str">
        <f aca="false">IF(L102+M102=0,"",L102+M102)</f>
        <v/>
      </c>
      <c r="O102" s="25" t="str">
        <f aca="false">IF(OR(H102="",I102="",J102=""),"",IF(F102="Long",(I102-H102)*J102*IF(G102="",1,G102),(H102-I102)*J102*IF(G102="",1,G102)))</f>
        <v/>
      </c>
      <c r="P102" s="26" t="str">
        <f aca="false">IF(O102="","",O102-IF(N102="",0,N102))</f>
        <v/>
      </c>
      <c r="Q102" s="27" t="str">
        <f aca="false">IFERROR(IF(P102="","",P102/K102),"")</f>
        <v/>
      </c>
      <c r="R102" s="19"/>
      <c r="S102" s="18"/>
      <c r="T102" s="28"/>
    </row>
    <row r="103" customFormat="false" ht="18" hidden="false" customHeight="true" outlineLevel="0" collapsed="false">
      <c r="A103" s="3" t="str">
        <f aca="false">IF(B103&lt;&gt;"",ROW()-2,"")</f>
        <v/>
      </c>
      <c r="B103" s="4"/>
      <c r="C103" s="4"/>
      <c r="D103" s="5"/>
      <c r="E103" s="6"/>
      <c r="F103" s="5"/>
      <c r="G103" s="7"/>
      <c r="H103" s="8"/>
      <c r="I103" s="8"/>
      <c r="J103" s="9"/>
      <c r="K103" s="10" t="str">
        <f aca="false">IF(H103*J103=0,"",H103*J103)</f>
        <v/>
      </c>
      <c r="L103" s="11"/>
      <c r="M103" s="11"/>
      <c r="N103" s="10" t="str">
        <f aca="false">IF(L103+M103=0,"",L103+M103)</f>
        <v/>
      </c>
      <c r="O103" s="12" t="str">
        <f aca="false">IF(OR(H103="",I103="",J103=""),"",IF(F103="Long",(I103-H103)*J103*IF(G103="",1,G103),(H103-I103)*J103*IF(G103="",1,G103)))</f>
        <v/>
      </c>
      <c r="P103" s="13" t="str">
        <f aca="false">IF(O103="","",O103-IF(N103="",0,N103))</f>
        <v/>
      </c>
      <c r="Q103" s="14" t="str">
        <f aca="false">IFERROR(IF(P103="","",P103/K103),"")</f>
        <v/>
      </c>
      <c r="R103" s="6"/>
      <c r="S103" s="5"/>
      <c r="T103" s="15"/>
    </row>
    <row r="104" customFormat="false" ht="18" hidden="false" customHeight="true" outlineLevel="0" collapsed="false">
      <c r="A104" s="16" t="str">
        <f aca="false">IF(B104&lt;&gt;"",ROW()-2,"")</f>
        <v/>
      </c>
      <c r="B104" s="17"/>
      <c r="C104" s="17"/>
      <c r="D104" s="18"/>
      <c r="E104" s="19"/>
      <c r="F104" s="18"/>
      <c r="G104" s="20"/>
      <c r="H104" s="21"/>
      <c r="I104" s="21"/>
      <c r="J104" s="22"/>
      <c r="K104" s="23" t="str">
        <f aca="false">IF(H104*J104=0,"",H104*J104)</f>
        <v/>
      </c>
      <c r="L104" s="24"/>
      <c r="M104" s="24"/>
      <c r="N104" s="23" t="str">
        <f aca="false">IF(L104+M104=0,"",L104+M104)</f>
        <v/>
      </c>
      <c r="O104" s="25" t="str">
        <f aca="false">IF(OR(H104="",I104="",J104=""),"",IF(F104="Long",(I104-H104)*J104*IF(G104="",1,G104),(H104-I104)*J104*IF(G104="",1,G104)))</f>
        <v/>
      </c>
      <c r="P104" s="26" t="str">
        <f aca="false">IF(O104="","",O104-IF(N104="",0,N104))</f>
        <v/>
      </c>
      <c r="Q104" s="27" t="str">
        <f aca="false">IFERROR(IF(P104="","",P104/K104),"")</f>
        <v/>
      </c>
      <c r="R104" s="19"/>
      <c r="S104" s="18"/>
      <c r="T104" s="28"/>
    </row>
    <row r="105" customFormat="false" ht="18" hidden="false" customHeight="true" outlineLevel="0" collapsed="false">
      <c r="A105" s="3" t="str">
        <f aca="false">IF(B105&lt;&gt;"",ROW()-2,"")</f>
        <v/>
      </c>
      <c r="B105" s="4"/>
      <c r="C105" s="4"/>
      <c r="D105" s="5"/>
      <c r="E105" s="6"/>
      <c r="F105" s="5"/>
      <c r="G105" s="7"/>
      <c r="H105" s="8"/>
      <c r="I105" s="8"/>
      <c r="J105" s="9"/>
      <c r="K105" s="10" t="str">
        <f aca="false">IF(H105*J105=0,"",H105*J105)</f>
        <v/>
      </c>
      <c r="L105" s="11"/>
      <c r="M105" s="11"/>
      <c r="N105" s="10" t="str">
        <f aca="false">IF(L105+M105=0,"",L105+M105)</f>
        <v/>
      </c>
      <c r="O105" s="12" t="str">
        <f aca="false">IF(OR(H105="",I105="",J105=""),"",IF(F105="Long",(I105-H105)*J105*IF(G105="",1,G105),(H105-I105)*J105*IF(G105="",1,G105)))</f>
        <v/>
      </c>
      <c r="P105" s="13" t="str">
        <f aca="false">IF(O105="","",O105-IF(N105="",0,N105))</f>
        <v/>
      </c>
      <c r="Q105" s="14" t="str">
        <f aca="false">IFERROR(IF(P105="","",P105/K105),"")</f>
        <v/>
      </c>
      <c r="R105" s="6"/>
      <c r="S105" s="5"/>
      <c r="T105" s="15"/>
    </row>
    <row r="106" customFormat="false" ht="18" hidden="false" customHeight="true" outlineLevel="0" collapsed="false">
      <c r="A106" s="16" t="str">
        <f aca="false">IF(B106&lt;&gt;"",ROW()-2,"")</f>
        <v/>
      </c>
      <c r="B106" s="17"/>
      <c r="C106" s="17"/>
      <c r="D106" s="18"/>
      <c r="E106" s="19"/>
      <c r="F106" s="18"/>
      <c r="G106" s="20"/>
      <c r="H106" s="21"/>
      <c r="I106" s="21"/>
      <c r="J106" s="22"/>
      <c r="K106" s="23" t="str">
        <f aca="false">IF(H106*J106=0,"",H106*J106)</f>
        <v/>
      </c>
      <c r="L106" s="24"/>
      <c r="M106" s="24"/>
      <c r="N106" s="23" t="str">
        <f aca="false">IF(L106+M106=0,"",L106+M106)</f>
        <v/>
      </c>
      <c r="O106" s="25" t="str">
        <f aca="false">IF(OR(H106="",I106="",J106=""),"",IF(F106="Long",(I106-H106)*J106*IF(G106="",1,G106),(H106-I106)*J106*IF(G106="",1,G106)))</f>
        <v/>
      </c>
      <c r="P106" s="26" t="str">
        <f aca="false">IF(O106="","",O106-IF(N106="",0,N106))</f>
        <v/>
      </c>
      <c r="Q106" s="27" t="str">
        <f aca="false">IFERROR(IF(P106="","",P106/K106),"")</f>
        <v/>
      </c>
      <c r="R106" s="19"/>
      <c r="S106" s="18"/>
      <c r="T106" s="28"/>
    </row>
    <row r="107" customFormat="false" ht="18" hidden="false" customHeight="true" outlineLevel="0" collapsed="false">
      <c r="A107" s="3" t="str">
        <f aca="false">IF(B107&lt;&gt;"",ROW()-2,"")</f>
        <v/>
      </c>
      <c r="B107" s="4"/>
      <c r="C107" s="4"/>
      <c r="D107" s="5"/>
      <c r="E107" s="6"/>
      <c r="F107" s="5"/>
      <c r="G107" s="7"/>
      <c r="H107" s="8"/>
      <c r="I107" s="8"/>
      <c r="J107" s="9"/>
      <c r="K107" s="10" t="str">
        <f aca="false">IF(H107*J107=0,"",H107*J107)</f>
        <v/>
      </c>
      <c r="L107" s="11"/>
      <c r="M107" s="11"/>
      <c r="N107" s="10" t="str">
        <f aca="false">IF(L107+M107=0,"",L107+M107)</f>
        <v/>
      </c>
      <c r="O107" s="12" t="str">
        <f aca="false">IF(OR(H107="",I107="",J107=""),"",IF(F107="Long",(I107-H107)*J107*IF(G107="",1,G107),(H107-I107)*J107*IF(G107="",1,G107)))</f>
        <v/>
      </c>
      <c r="P107" s="13" t="str">
        <f aca="false">IF(O107="","",O107-IF(N107="",0,N107))</f>
        <v/>
      </c>
      <c r="Q107" s="14" t="str">
        <f aca="false">IFERROR(IF(P107="","",P107/K107),"")</f>
        <v/>
      </c>
      <c r="R107" s="6"/>
      <c r="S107" s="5"/>
      <c r="T107" s="15"/>
    </row>
    <row r="108" customFormat="false" ht="18" hidden="false" customHeight="true" outlineLevel="0" collapsed="false">
      <c r="A108" s="16" t="str">
        <f aca="false">IF(B108&lt;&gt;"",ROW()-2,"")</f>
        <v/>
      </c>
      <c r="B108" s="17"/>
      <c r="C108" s="17"/>
      <c r="D108" s="18"/>
      <c r="E108" s="19"/>
      <c r="F108" s="18"/>
      <c r="G108" s="20"/>
      <c r="H108" s="21"/>
      <c r="I108" s="21"/>
      <c r="J108" s="22"/>
      <c r="K108" s="23" t="str">
        <f aca="false">IF(H108*J108=0,"",H108*J108)</f>
        <v/>
      </c>
      <c r="L108" s="24"/>
      <c r="M108" s="24"/>
      <c r="N108" s="23" t="str">
        <f aca="false">IF(L108+M108=0,"",L108+M108)</f>
        <v/>
      </c>
      <c r="O108" s="25" t="str">
        <f aca="false">IF(OR(H108="",I108="",J108=""),"",IF(F108="Long",(I108-H108)*J108*IF(G108="",1,G108),(H108-I108)*J108*IF(G108="",1,G108)))</f>
        <v/>
      </c>
      <c r="P108" s="26" t="str">
        <f aca="false">IF(O108="","",O108-IF(N108="",0,N108))</f>
        <v/>
      </c>
      <c r="Q108" s="27" t="str">
        <f aca="false">IFERROR(IF(P108="","",P108/K108),"")</f>
        <v/>
      </c>
      <c r="R108" s="19"/>
      <c r="S108" s="18"/>
      <c r="T108" s="28"/>
    </row>
    <row r="109" customFormat="false" ht="18" hidden="false" customHeight="true" outlineLevel="0" collapsed="false">
      <c r="A109" s="3" t="str">
        <f aca="false">IF(B109&lt;&gt;"",ROW()-2,"")</f>
        <v/>
      </c>
      <c r="B109" s="4"/>
      <c r="C109" s="4"/>
      <c r="D109" s="5"/>
      <c r="E109" s="6"/>
      <c r="F109" s="5"/>
      <c r="G109" s="7"/>
      <c r="H109" s="8"/>
      <c r="I109" s="8"/>
      <c r="J109" s="9"/>
      <c r="K109" s="10" t="str">
        <f aca="false">IF(H109*J109=0,"",H109*J109)</f>
        <v/>
      </c>
      <c r="L109" s="11"/>
      <c r="M109" s="11"/>
      <c r="N109" s="10" t="str">
        <f aca="false">IF(L109+M109=0,"",L109+M109)</f>
        <v/>
      </c>
      <c r="O109" s="12" t="str">
        <f aca="false">IF(OR(H109="",I109="",J109=""),"",IF(F109="Long",(I109-H109)*J109*IF(G109="",1,G109),(H109-I109)*J109*IF(G109="",1,G109)))</f>
        <v/>
      </c>
      <c r="P109" s="13" t="str">
        <f aca="false">IF(O109="","",O109-IF(N109="",0,N109))</f>
        <v/>
      </c>
      <c r="Q109" s="14" t="str">
        <f aca="false">IFERROR(IF(P109="","",P109/K109),"")</f>
        <v/>
      </c>
      <c r="R109" s="6"/>
      <c r="S109" s="5"/>
      <c r="T109" s="15"/>
    </row>
    <row r="110" customFormat="false" ht="18" hidden="false" customHeight="true" outlineLevel="0" collapsed="false">
      <c r="A110" s="16" t="str">
        <f aca="false">IF(B110&lt;&gt;"",ROW()-2,"")</f>
        <v/>
      </c>
      <c r="B110" s="17"/>
      <c r="C110" s="17"/>
      <c r="D110" s="18"/>
      <c r="E110" s="19"/>
      <c r="F110" s="18"/>
      <c r="G110" s="20"/>
      <c r="H110" s="21"/>
      <c r="I110" s="21"/>
      <c r="J110" s="22"/>
      <c r="K110" s="23" t="str">
        <f aca="false">IF(H110*J110=0,"",H110*J110)</f>
        <v/>
      </c>
      <c r="L110" s="24"/>
      <c r="M110" s="24"/>
      <c r="N110" s="23" t="str">
        <f aca="false">IF(L110+M110=0,"",L110+M110)</f>
        <v/>
      </c>
      <c r="O110" s="25" t="str">
        <f aca="false">IF(OR(H110="",I110="",J110=""),"",IF(F110="Long",(I110-H110)*J110*IF(G110="",1,G110),(H110-I110)*J110*IF(G110="",1,G110)))</f>
        <v/>
      </c>
      <c r="P110" s="26" t="str">
        <f aca="false">IF(O110="","",O110-IF(N110="",0,N110))</f>
        <v/>
      </c>
      <c r="Q110" s="27" t="str">
        <f aca="false">IFERROR(IF(P110="","",P110/K110),"")</f>
        <v/>
      </c>
      <c r="R110" s="19"/>
      <c r="S110" s="18"/>
      <c r="T110" s="28"/>
    </row>
    <row r="111" customFormat="false" ht="18" hidden="false" customHeight="true" outlineLevel="0" collapsed="false">
      <c r="A111" s="3" t="str">
        <f aca="false">IF(B111&lt;&gt;"",ROW()-2,"")</f>
        <v/>
      </c>
      <c r="B111" s="4"/>
      <c r="C111" s="4"/>
      <c r="D111" s="5"/>
      <c r="E111" s="6"/>
      <c r="F111" s="5"/>
      <c r="G111" s="7"/>
      <c r="H111" s="8"/>
      <c r="I111" s="8"/>
      <c r="J111" s="9"/>
      <c r="K111" s="10" t="str">
        <f aca="false">IF(H111*J111=0,"",H111*J111)</f>
        <v/>
      </c>
      <c r="L111" s="11"/>
      <c r="M111" s="11"/>
      <c r="N111" s="10" t="str">
        <f aca="false">IF(L111+M111=0,"",L111+M111)</f>
        <v/>
      </c>
      <c r="O111" s="12" t="str">
        <f aca="false">IF(OR(H111="",I111="",J111=""),"",IF(F111="Long",(I111-H111)*J111*IF(G111="",1,G111),(H111-I111)*J111*IF(G111="",1,G111)))</f>
        <v/>
      </c>
      <c r="P111" s="13" t="str">
        <f aca="false">IF(O111="","",O111-IF(N111="",0,N111))</f>
        <v/>
      </c>
      <c r="Q111" s="14" t="str">
        <f aca="false">IFERROR(IF(P111="","",P111/K111),"")</f>
        <v/>
      </c>
      <c r="R111" s="6"/>
      <c r="S111" s="5"/>
      <c r="T111" s="15"/>
    </row>
    <row r="112" customFormat="false" ht="18" hidden="false" customHeight="true" outlineLevel="0" collapsed="false">
      <c r="A112" s="16" t="str">
        <f aca="false">IF(B112&lt;&gt;"",ROW()-2,"")</f>
        <v/>
      </c>
      <c r="B112" s="17"/>
      <c r="C112" s="17"/>
      <c r="D112" s="18"/>
      <c r="E112" s="19"/>
      <c r="F112" s="18"/>
      <c r="G112" s="20"/>
      <c r="H112" s="21"/>
      <c r="I112" s="21"/>
      <c r="J112" s="22"/>
      <c r="K112" s="23" t="str">
        <f aca="false">IF(H112*J112=0,"",H112*J112)</f>
        <v/>
      </c>
      <c r="L112" s="24"/>
      <c r="M112" s="24"/>
      <c r="N112" s="23" t="str">
        <f aca="false">IF(L112+M112=0,"",L112+M112)</f>
        <v/>
      </c>
      <c r="O112" s="25" t="str">
        <f aca="false">IF(OR(H112="",I112="",J112=""),"",IF(F112="Long",(I112-H112)*J112*IF(G112="",1,G112),(H112-I112)*J112*IF(G112="",1,G112)))</f>
        <v/>
      </c>
      <c r="P112" s="26" t="str">
        <f aca="false">IF(O112="","",O112-IF(N112="",0,N112))</f>
        <v/>
      </c>
      <c r="Q112" s="27" t="str">
        <f aca="false">IFERROR(IF(P112="","",P112/K112),"")</f>
        <v/>
      </c>
      <c r="R112" s="19"/>
      <c r="S112" s="18"/>
      <c r="T112" s="28"/>
    </row>
    <row r="113" customFormat="false" ht="18" hidden="false" customHeight="true" outlineLevel="0" collapsed="false">
      <c r="A113" s="3" t="str">
        <f aca="false">IF(B113&lt;&gt;"",ROW()-2,"")</f>
        <v/>
      </c>
      <c r="B113" s="4"/>
      <c r="C113" s="4"/>
      <c r="D113" s="5"/>
      <c r="E113" s="6"/>
      <c r="F113" s="5"/>
      <c r="G113" s="7"/>
      <c r="H113" s="8"/>
      <c r="I113" s="8"/>
      <c r="J113" s="9"/>
      <c r="K113" s="10" t="str">
        <f aca="false">IF(H113*J113=0,"",H113*J113)</f>
        <v/>
      </c>
      <c r="L113" s="11"/>
      <c r="M113" s="11"/>
      <c r="N113" s="10" t="str">
        <f aca="false">IF(L113+M113=0,"",L113+M113)</f>
        <v/>
      </c>
      <c r="O113" s="12" t="str">
        <f aca="false">IF(OR(H113="",I113="",J113=""),"",IF(F113="Long",(I113-H113)*J113*IF(G113="",1,G113),(H113-I113)*J113*IF(G113="",1,G113)))</f>
        <v/>
      </c>
      <c r="P113" s="13" t="str">
        <f aca="false">IF(O113="","",O113-IF(N113="",0,N113))</f>
        <v/>
      </c>
      <c r="Q113" s="14" t="str">
        <f aca="false">IFERROR(IF(P113="","",P113/K113),"")</f>
        <v/>
      </c>
      <c r="R113" s="6"/>
      <c r="S113" s="5"/>
      <c r="T113" s="15"/>
    </row>
    <row r="114" customFormat="false" ht="18" hidden="false" customHeight="true" outlineLevel="0" collapsed="false">
      <c r="A114" s="16" t="str">
        <f aca="false">IF(B114&lt;&gt;"",ROW()-2,"")</f>
        <v/>
      </c>
      <c r="B114" s="17"/>
      <c r="C114" s="17"/>
      <c r="D114" s="18"/>
      <c r="E114" s="19"/>
      <c r="F114" s="18"/>
      <c r="G114" s="20"/>
      <c r="H114" s="21"/>
      <c r="I114" s="21"/>
      <c r="J114" s="22"/>
      <c r="K114" s="23" t="str">
        <f aca="false">IF(H114*J114=0,"",H114*J114)</f>
        <v/>
      </c>
      <c r="L114" s="24"/>
      <c r="M114" s="24"/>
      <c r="N114" s="23" t="str">
        <f aca="false">IF(L114+M114=0,"",L114+M114)</f>
        <v/>
      </c>
      <c r="O114" s="25" t="str">
        <f aca="false">IF(OR(H114="",I114="",J114=""),"",IF(F114="Long",(I114-H114)*J114*IF(G114="",1,G114),(H114-I114)*J114*IF(G114="",1,G114)))</f>
        <v/>
      </c>
      <c r="P114" s="26" t="str">
        <f aca="false">IF(O114="","",O114-IF(N114="",0,N114))</f>
        <v/>
      </c>
      <c r="Q114" s="27" t="str">
        <f aca="false">IFERROR(IF(P114="","",P114/K114),"")</f>
        <v/>
      </c>
      <c r="R114" s="19"/>
      <c r="S114" s="18"/>
      <c r="T114" s="28"/>
    </row>
    <row r="115" customFormat="false" ht="18" hidden="false" customHeight="true" outlineLevel="0" collapsed="false">
      <c r="A115" s="3" t="str">
        <f aca="false">IF(B115&lt;&gt;"",ROW()-2,"")</f>
        <v/>
      </c>
      <c r="B115" s="4"/>
      <c r="C115" s="4"/>
      <c r="D115" s="5"/>
      <c r="E115" s="6"/>
      <c r="F115" s="5"/>
      <c r="G115" s="7"/>
      <c r="H115" s="8"/>
      <c r="I115" s="8"/>
      <c r="J115" s="9"/>
      <c r="K115" s="10" t="str">
        <f aca="false">IF(H115*J115=0,"",H115*J115)</f>
        <v/>
      </c>
      <c r="L115" s="11"/>
      <c r="M115" s="11"/>
      <c r="N115" s="10" t="str">
        <f aca="false">IF(L115+M115=0,"",L115+M115)</f>
        <v/>
      </c>
      <c r="O115" s="12" t="str">
        <f aca="false">IF(OR(H115="",I115="",J115=""),"",IF(F115="Long",(I115-H115)*J115*IF(G115="",1,G115),(H115-I115)*J115*IF(G115="",1,G115)))</f>
        <v/>
      </c>
      <c r="P115" s="13" t="str">
        <f aca="false">IF(O115="","",O115-IF(N115="",0,N115))</f>
        <v/>
      </c>
      <c r="Q115" s="14" t="str">
        <f aca="false">IFERROR(IF(P115="","",P115/K115),"")</f>
        <v/>
      </c>
      <c r="R115" s="6"/>
      <c r="S115" s="5"/>
      <c r="T115" s="15"/>
    </row>
    <row r="116" customFormat="false" ht="18" hidden="false" customHeight="true" outlineLevel="0" collapsed="false">
      <c r="A116" s="16" t="str">
        <f aca="false">IF(B116&lt;&gt;"",ROW()-2,"")</f>
        <v/>
      </c>
      <c r="B116" s="17"/>
      <c r="C116" s="17"/>
      <c r="D116" s="18"/>
      <c r="E116" s="19"/>
      <c r="F116" s="18"/>
      <c r="G116" s="20"/>
      <c r="H116" s="21"/>
      <c r="I116" s="21"/>
      <c r="J116" s="22"/>
      <c r="K116" s="23" t="str">
        <f aca="false">IF(H116*J116=0,"",H116*J116)</f>
        <v/>
      </c>
      <c r="L116" s="24"/>
      <c r="M116" s="24"/>
      <c r="N116" s="23" t="str">
        <f aca="false">IF(L116+M116=0,"",L116+M116)</f>
        <v/>
      </c>
      <c r="O116" s="25" t="str">
        <f aca="false">IF(OR(H116="",I116="",J116=""),"",IF(F116="Long",(I116-H116)*J116*IF(G116="",1,G116),(H116-I116)*J116*IF(G116="",1,G116)))</f>
        <v/>
      </c>
      <c r="P116" s="26" t="str">
        <f aca="false">IF(O116="","",O116-IF(N116="",0,N116))</f>
        <v/>
      </c>
      <c r="Q116" s="27" t="str">
        <f aca="false">IFERROR(IF(P116="","",P116/K116),"")</f>
        <v/>
      </c>
      <c r="R116" s="19"/>
      <c r="S116" s="18"/>
      <c r="T116" s="28"/>
    </row>
    <row r="117" customFormat="false" ht="18" hidden="false" customHeight="true" outlineLevel="0" collapsed="false">
      <c r="A117" s="3" t="str">
        <f aca="false">IF(B117&lt;&gt;"",ROW()-2,"")</f>
        <v/>
      </c>
      <c r="B117" s="4"/>
      <c r="C117" s="4"/>
      <c r="D117" s="5"/>
      <c r="E117" s="6"/>
      <c r="F117" s="5"/>
      <c r="G117" s="7"/>
      <c r="H117" s="8"/>
      <c r="I117" s="8"/>
      <c r="J117" s="9"/>
      <c r="K117" s="10" t="str">
        <f aca="false">IF(H117*J117=0,"",H117*J117)</f>
        <v/>
      </c>
      <c r="L117" s="11"/>
      <c r="M117" s="11"/>
      <c r="N117" s="10" t="str">
        <f aca="false">IF(L117+M117=0,"",L117+M117)</f>
        <v/>
      </c>
      <c r="O117" s="12" t="str">
        <f aca="false">IF(OR(H117="",I117="",J117=""),"",IF(F117="Long",(I117-H117)*J117*IF(G117="",1,G117),(H117-I117)*J117*IF(G117="",1,G117)))</f>
        <v/>
      </c>
      <c r="P117" s="13" t="str">
        <f aca="false">IF(O117="","",O117-IF(N117="",0,N117))</f>
        <v/>
      </c>
      <c r="Q117" s="14" t="str">
        <f aca="false">IFERROR(IF(P117="","",P117/K117),"")</f>
        <v/>
      </c>
      <c r="R117" s="6"/>
      <c r="S117" s="5"/>
      <c r="T117" s="15"/>
    </row>
    <row r="118" customFormat="false" ht="18" hidden="false" customHeight="true" outlineLevel="0" collapsed="false">
      <c r="A118" s="16" t="str">
        <f aca="false">IF(B118&lt;&gt;"",ROW()-2,"")</f>
        <v/>
      </c>
      <c r="B118" s="17"/>
      <c r="C118" s="17"/>
      <c r="D118" s="18"/>
      <c r="E118" s="19"/>
      <c r="F118" s="18"/>
      <c r="G118" s="20"/>
      <c r="H118" s="21"/>
      <c r="I118" s="21"/>
      <c r="J118" s="22"/>
      <c r="K118" s="23" t="str">
        <f aca="false">IF(H118*J118=0,"",H118*J118)</f>
        <v/>
      </c>
      <c r="L118" s="24"/>
      <c r="M118" s="24"/>
      <c r="N118" s="23" t="str">
        <f aca="false">IF(L118+M118=0,"",L118+M118)</f>
        <v/>
      </c>
      <c r="O118" s="25" t="str">
        <f aca="false">IF(OR(H118="",I118="",J118=""),"",IF(F118="Long",(I118-H118)*J118*IF(G118="",1,G118),(H118-I118)*J118*IF(G118="",1,G118)))</f>
        <v/>
      </c>
      <c r="P118" s="26" t="str">
        <f aca="false">IF(O118="","",O118-IF(N118="",0,N118))</f>
        <v/>
      </c>
      <c r="Q118" s="27" t="str">
        <f aca="false">IFERROR(IF(P118="","",P118/K118),"")</f>
        <v/>
      </c>
      <c r="R118" s="19"/>
      <c r="S118" s="18"/>
      <c r="T118" s="28"/>
    </row>
    <row r="119" customFormat="false" ht="18" hidden="false" customHeight="true" outlineLevel="0" collapsed="false">
      <c r="A119" s="3" t="str">
        <f aca="false">IF(B119&lt;&gt;"",ROW()-2,"")</f>
        <v/>
      </c>
      <c r="B119" s="4"/>
      <c r="C119" s="4"/>
      <c r="D119" s="5"/>
      <c r="E119" s="6"/>
      <c r="F119" s="5"/>
      <c r="G119" s="7"/>
      <c r="H119" s="8"/>
      <c r="I119" s="8"/>
      <c r="J119" s="9"/>
      <c r="K119" s="10" t="str">
        <f aca="false">IF(H119*J119=0,"",H119*J119)</f>
        <v/>
      </c>
      <c r="L119" s="11"/>
      <c r="M119" s="11"/>
      <c r="N119" s="10" t="str">
        <f aca="false">IF(L119+M119=0,"",L119+M119)</f>
        <v/>
      </c>
      <c r="O119" s="12" t="str">
        <f aca="false">IF(OR(H119="",I119="",J119=""),"",IF(F119="Long",(I119-H119)*J119*IF(G119="",1,G119),(H119-I119)*J119*IF(G119="",1,G119)))</f>
        <v/>
      </c>
      <c r="P119" s="13" t="str">
        <f aca="false">IF(O119="","",O119-IF(N119="",0,N119))</f>
        <v/>
      </c>
      <c r="Q119" s="14" t="str">
        <f aca="false">IFERROR(IF(P119="","",P119/K119),"")</f>
        <v/>
      </c>
      <c r="R119" s="6"/>
      <c r="S119" s="5"/>
      <c r="T119" s="15"/>
    </row>
    <row r="120" customFormat="false" ht="18" hidden="false" customHeight="true" outlineLevel="0" collapsed="false">
      <c r="A120" s="16" t="str">
        <f aca="false">IF(B120&lt;&gt;"",ROW()-2,"")</f>
        <v/>
      </c>
      <c r="B120" s="17"/>
      <c r="C120" s="17"/>
      <c r="D120" s="18"/>
      <c r="E120" s="19"/>
      <c r="F120" s="18"/>
      <c r="G120" s="20"/>
      <c r="H120" s="21"/>
      <c r="I120" s="21"/>
      <c r="J120" s="22"/>
      <c r="K120" s="23" t="str">
        <f aca="false">IF(H120*J120=0,"",H120*J120)</f>
        <v/>
      </c>
      <c r="L120" s="24"/>
      <c r="M120" s="24"/>
      <c r="N120" s="23" t="str">
        <f aca="false">IF(L120+M120=0,"",L120+M120)</f>
        <v/>
      </c>
      <c r="O120" s="25" t="str">
        <f aca="false">IF(OR(H120="",I120="",J120=""),"",IF(F120="Long",(I120-H120)*J120*IF(G120="",1,G120),(H120-I120)*J120*IF(G120="",1,G120)))</f>
        <v/>
      </c>
      <c r="P120" s="26" t="str">
        <f aca="false">IF(O120="","",O120-IF(N120="",0,N120))</f>
        <v/>
      </c>
      <c r="Q120" s="27" t="str">
        <f aca="false">IFERROR(IF(P120="","",P120/K120),"")</f>
        <v/>
      </c>
      <c r="R120" s="19"/>
      <c r="S120" s="18"/>
      <c r="T120" s="28"/>
    </row>
    <row r="121" customFormat="false" ht="18" hidden="false" customHeight="true" outlineLevel="0" collapsed="false">
      <c r="A121" s="3" t="str">
        <f aca="false">IF(B121&lt;&gt;"",ROW()-2,"")</f>
        <v/>
      </c>
      <c r="B121" s="4"/>
      <c r="C121" s="4"/>
      <c r="D121" s="5"/>
      <c r="E121" s="6"/>
      <c r="F121" s="5"/>
      <c r="G121" s="7"/>
      <c r="H121" s="8"/>
      <c r="I121" s="8"/>
      <c r="J121" s="9"/>
      <c r="K121" s="10" t="str">
        <f aca="false">IF(H121*J121=0,"",H121*J121)</f>
        <v/>
      </c>
      <c r="L121" s="11"/>
      <c r="M121" s="11"/>
      <c r="N121" s="10" t="str">
        <f aca="false">IF(L121+M121=0,"",L121+M121)</f>
        <v/>
      </c>
      <c r="O121" s="12" t="str">
        <f aca="false">IF(OR(H121="",I121="",J121=""),"",IF(F121="Long",(I121-H121)*J121*IF(G121="",1,G121),(H121-I121)*J121*IF(G121="",1,G121)))</f>
        <v/>
      </c>
      <c r="P121" s="13" t="str">
        <f aca="false">IF(O121="","",O121-IF(N121="",0,N121))</f>
        <v/>
      </c>
      <c r="Q121" s="14" t="str">
        <f aca="false">IFERROR(IF(P121="","",P121/K121),"")</f>
        <v/>
      </c>
      <c r="R121" s="6"/>
      <c r="S121" s="5"/>
      <c r="T121" s="15"/>
    </row>
    <row r="122" customFormat="false" ht="18" hidden="false" customHeight="true" outlineLevel="0" collapsed="false">
      <c r="A122" s="16" t="str">
        <f aca="false">IF(B122&lt;&gt;"",ROW()-2,"")</f>
        <v/>
      </c>
      <c r="B122" s="17"/>
      <c r="C122" s="17"/>
      <c r="D122" s="18"/>
      <c r="E122" s="19"/>
      <c r="F122" s="18"/>
      <c r="G122" s="20"/>
      <c r="H122" s="21"/>
      <c r="I122" s="21"/>
      <c r="J122" s="22"/>
      <c r="K122" s="23" t="str">
        <f aca="false">IF(H122*J122=0,"",H122*J122)</f>
        <v/>
      </c>
      <c r="L122" s="24"/>
      <c r="M122" s="24"/>
      <c r="N122" s="23" t="str">
        <f aca="false">IF(L122+M122=0,"",L122+M122)</f>
        <v/>
      </c>
      <c r="O122" s="25" t="str">
        <f aca="false">IF(OR(H122="",I122="",J122=""),"",IF(F122="Long",(I122-H122)*J122*IF(G122="",1,G122),(H122-I122)*J122*IF(G122="",1,G122)))</f>
        <v/>
      </c>
      <c r="P122" s="26" t="str">
        <f aca="false">IF(O122="","",O122-IF(N122="",0,N122))</f>
        <v/>
      </c>
      <c r="Q122" s="27" t="str">
        <f aca="false">IFERROR(IF(P122="","",P122/K122),"")</f>
        <v/>
      </c>
      <c r="R122" s="19"/>
      <c r="S122" s="18"/>
      <c r="T122" s="28"/>
    </row>
    <row r="123" customFormat="false" ht="18" hidden="false" customHeight="true" outlineLevel="0" collapsed="false">
      <c r="A123" s="3" t="str">
        <f aca="false">IF(B123&lt;&gt;"",ROW()-2,"")</f>
        <v/>
      </c>
      <c r="B123" s="4"/>
      <c r="C123" s="4"/>
      <c r="D123" s="5"/>
      <c r="E123" s="6"/>
      <c r="F123" s="5"/>
      <c r="G123" s="7"/>
      <c r="H123" s="8"/>
      <c r="I123" s="8"/>
      <c r="J123" s="9"/>
      <c r="K123" s="10" t="str">
        <f aca="false">IF(H123*J123=0,"",H123*J123)</f>
        <v/>
      </c>
      <c r="L123" s="11"/>
      <c r="M123" s="11"/>
      <c r="N123" s="10" t="str">
        <f aca="false">IF(L123+M123=0,"",L123+M123)</f>
        <v/>
      </c>
      <c r="O123" s="12" t="str">
        <f aca="false">IF(OR(H123="",I123="",J123=""),"",IF(F123="Long",(I123-H123)*J123*IF(G123="",1,G123),(H123-I123)*J123*IF(G123="",1,G123)))</f>
        <v/>
      </c>
      <c r="P123" s="13" t="str">
        <f aca="false">IF(O123="","",O123-IF(N123="",0,N123))</f>
        <v/>
      </c>
      <c r="Q123" s="14" t="str">
        <f aca="false">IFERROR(IF(P123="","",P123/K123),"")</f>
        <v/>
      </c>
      <c r="R123" s="6"/>
      <c r="S123" s="5"/>
      <c r="T123" s="15"/>
    </row>
    <row r="124" customFormat="false" ht="18" hidden="false" customHeight="true" outlineLevel="0" collapsed="false">
      <c r="A124" s="16" t="str">
        <f aca="false">IF(B124&lt;&gt;"",ROW()-2,"")</f>
        <v/>
      </c>
      <c r="B124" s="17"/>
      <c r="C124" s="17"/>
      <c r="D124" s="18"/>
      <c r="E124" s="19"/>
      <c r="F124" s="18"/>
      <c r="G124" s="20"/>
      <c r="H124" s="21"/>
      <c r="I124" s="21"/>
      <c r="J124" s="22"/>
      <c r="K124" s="23" t="str">
        <f aca="false">IF(H124*J124=0,"",H124*J124)</f>
        <v/>
      </c>
      <c r="L124" s="24"/>
      <c r="M124" s="24"/>
      <c r="N124" s="23" t="str">
        <f aca="false">IF(L124+M124=0,"",L124+M124)</f>
        <v/>
      </c>
      <c r="O124" s="25" t="str">
        <f aca="false">IF(OR(H124="",I124="",J124=""),"",IF(F124="Long",(I124-H124)*J124*IF(G124="",1,G124),(H124-I124)*J124*IF(G124="",1,G124)))</f>
        <v/>
      </c>
      <c r="P124" s="26" t="str">
        <f aca="false">IF(O124="","",O124-IF(N124="",0,N124))</f>
        <v/>
      </c>
      <c r="Q124" s="27" t="str">
        <f aca="false">IFERROR(IF(P124="","",P124/K124),"")</f>
        <v/>
      </c>
      <c r="R124" s="19"/>
      <c r="S124" s="18"/>
      <c r="T124" s="28"/>
    </row>
    <row r="125" customFormat="false" ht="18" hidden="false" customHeight="true" outlineLevel="0" collapsed="false">
      <c r="A125" s="3" t="str">
        <f aca="false">IF(B125&lt;&gt;"",ROW()-2,"")</f>
        <v/>
      </c>
      <c r="B125" s="4"/>
      <c r="C125" s="4"/>
      <c r="D125" s="5"/>
      <c r="E125" s="6"/>
      <c r="F125" s="5"/>
      <c r="G125" s="7"/>
      <c r="H125" s="8"/>
      <c r="I125" s="8"/>
      <c r="J125" s="9"/>
      <c r="K125" s="10" t="str">
        <f aca="false">IF(H125*J125=0,"",H125*J125)</f>
        <v/>
      </c>
      <c r="L125" s="11"/>
      <c r="M125" s="11"/>
      <c r="N125" s="10" t="str">
        <f aca="false">IF(L125+M125=0,"",L125+M125)</f>
        <v/>
      </c>
      <c r="O125" s="12" t="str">
        <f aca="false">IF(OR(H125="",I125="",J125=""),"",IF(F125="Long",(I125-H125)*J125*IF(G125="",1,G125),(H125-I125)*J125*IF(G125="",1,G125)))</f>
        <v/>
      </c>
      <c r="P125" s="13" t="str">
        <f aca="false">IF(O125="","",O125-IF(N125="",0,N125))</f>
        <v/>
      </c>
      <c r="Q125" s="14" t="str">
        <f aca="false">IFERROR(IF(P125="","",P125/K125),"")</f>
        <v/>
      </c>
      <c r="R125" s="6"/>
      <c r="S125" s="5"/>
      <c r="T125" s="15"/>
    </row>
    <row r="126" customFormat="false" ht="18" hidden="false" customHeight="true" outlineLevel="0" collapsed="false">
      <c r="A126" s="16" t="str">
        <f aca="false">IF(B126&lt;&gt;"",ROW()-2,"")</f>
        <v/>
      </c>
      <c r="B126" s="17"/>
      <c r="C126" s="17"/>
      <c r="D126" s="18"/>
      <c r="E126" s="19"/>
      <c r="F126" s="18"/>
      <c r="G126" s="20"/>
      <c r="H126" s="21"/>
      <c r="I126" s="21"/>
      <c r="J126" s="22"/>
      <c r="K126" s="23" t="str">
        <f aca="false">IF(H126*J126=0,"",H126*J126)</f>
        <v/>
      </c>
      <c r="L126" s="24"/>
      <c r="M126" s="24"/>
      <c r="N126" s="23" t="str">
        <f aca="false">IF(L126+M126=0,"",L126+M126)</f>
        <v/>
      </c>
      <c r="O126" s="25" t="str">
        <f aca="false">IF(OR(H126="",I126="",J126=""),"",IF(F126="Long",(I126-H126)*J126*IF(G126="",1,G126),(H126-I126)*J126*IF(G126="",1,G126)))</f>
        <v/>
      </c>
      <c r="P126" s="26" t="str">
        <f aca="false">IF(O126="","",O126-IF(N126="",0,N126))</f>
        <v/>
      </c>
      <c r="Q126" s="27" t="str">
        <f aca="false">IFERROR(IF(P126="","",P126/K126),"")</f>
        <v/>
      </c>
      <c r="R126" s="19"/>
      <c r="S126" s="18"/>
      <c r="T126" s="28"/>
    </row>
    <row r="127" customFormat="false" ht="18" hidden="false" customHeight="true" outlineLevel="0" collapsed="false">
      <c r="A127" s="3" t="str">
        <f aca="false">IF(B127&lt;&gt;"",ROW()-2,"")</f>
        <v/>
      </c>
      <c r="B127" s="4"/>
      <c r="C127" s="4"/>
      <c r="D127" s="5"/>
      <c r="E127" s="6"/>
      <c r="F127" s="5"/>
      <c r="G127" s="7"/>
      <c r="H127" s="8"/>
      <c r="I127" s="8"/>
      <c r="J127" s="9"/>
      <c r="K127" s="10" t="str">
        <f aca="false">IF(H127*J127=0,"",H127*J127)</f>
        <v/>
      </c>
      <c r="L127" s="11"/>
      <c r="M127" s="11"/>
      <c r="N127" s="10" t="str">
        <f aca="false">IF(L127+M127=0,"",L127+M127)</f>
        <v/>
      </c>
      <c r="O127" s="12" t="str">
        <f aca="false">IF(OR(H127="",I127="",J127=""),"",IF(F127="Long",(I127-H127)*J127*IF(G127="",1,G127),(H127-I127)*J127*IF(G127="",1,G127)))</f>
        <v/>
      </c>
      <c r="P127" s="13" t="str">
        <f aca="false">IF(O127="","",O127-IF(N127="",0,N127))</f>
        <v/>
      </c>
      <c r="Q127" s="14" t="str">
        <f aca="false">IFERROR(IF(P127="","",P127/K127),"")</f>
        <v/>
      </c>
      <c r="R127" s="6"/>
      <c r="S127" s="5"/>
      <c r="T127" s="15"/>
    </row>
    <row r="128" customFormat="false" ht="18" hidden="false" customHeight="true" outlineLevel="0" collapsed="false">
      <c r="A128" s="16" t="str">
        <f aca="false">IF(B128&lt;&gt;"",ROW()-2,"")</f>
        <v/>
      </c>
      <c r="B128" s="17"/>
      <c r="C128" s="17"/>
      <c r="D128" s="18"/>
      <c r="E128" s="19"/>
      <c r="F128" s="18"/>
      <c r="G128" s="20"/>
      <c r="H128" s="21"/>
      <c r="I128" s="21"/>
      <c r="J128" s="22"/>
      <c r="K128" s="23" t="str">
        <f aca="false">IF(H128*J128=0,"",H128*J128)</f>
        <v/>
      </c>
      <c r="L128" s="24"/>
      <c r="M128" s="24"/>
      <c r="N128" s="23" t="str">
        <f aca="false">IF(L128+M128=0,"",L128+M128)</f>
        <v/>
      </c>
      <c r="O128" s="25" t="str">
        <f aca="false">IF(OR(H128="",I128="",J128=""),"",IF(F128="Long",(I128-H128)*J128*IF(G128="",1,G128),(H128-I128)*J128*IF(G128="",1,G128)))</f>
        <v/>
      </c>
      <c r="P128" s="26" t="str">
        <f aca="false">IF(O128="","",O128-IF(N128="",0,N128))</f>
        <v/>
      </c>
      <c r="Q128" s="27" t="str">
        <f aca="false">IFERROR(IF(P128="","",P128/K128),"")</f>
        <v/>
      </c>
      <c r="R128" s="19"/>
      <c r="S128" s="18"/>
      <c r="T128" s="28"/>
    </row>
    <row r="129" customFormat="false" ht="18" hidden="false" customHeight="true" outlineLevel="0" collapsed="false">
      <c r="A129" s="3" t="str">
        <f aca="false">IF(B129&lt;&gt;"",ROW()-2,"")</f>
        <v/>
      </c>
      <c r="B129" s="4"/>
      <c r="C129" s="4"/>
      <c r="D129" s="5"/>
      <c r="E129" s="6"/>
      <c r="F129" s="5"/>
      <c r="G129" s="7"/>
      <c r="H129" s="8"/>
      <c r="I129" s="8"/>
      <c r="J129" s="9"/>
      <c r="K129" s="10" t="str">
        <f aca="false">IF(H129*J129=0,"",H129*J129)</f>
        <v/>
      </c>
      <c r="L129" s="11"/>
      <c r="M129" s="11"/>
      <c r="N129" s="10" t="str">
        <f aca="false">IF(L129+M129=0,"",L129+M129)</f>
        <v/>
      </c>
      <c r="O129" s="12" t="str">
        <f aca="false">IF(OR(H129="",I129="",J129=""),"",IF(F129="Long",(I129-H129)*J129*IF(G129="",1,G129),(H129-I129)*J129*IF(G129="",1,G129)))</f>
        <v/>
      </c>
      <c r="P129" s="13" t="str">
        <f aca="false">IF(O129="","",O129-IF(N129="",0,N129))</f>
        <v/>
      </c>
      <c r="Q129" s="14" t="str">
        <f aca="false">IFERROR(IF(P129="","",P129/K129),"")</f>
        <v/>
      </c>
      <c r="R129" s="6"/>
      <c r="S129" s="5"/>
      <c r="T129" s="15"/>
    </row>
    <row r="130" customFormat="false" ht="18" hidden="false" customHeight="true" outlineLevel="0" collapsed="false">
      <c r="A130" s="16" t="str">
        <f aca="false">IF(B130&lt;&gt;"",ROW()-2,"")</f>
        <v/>
      </c>
      <c r="B130" s="17"/>
      <c r="C130" s="17"/>
      <c r="D130" s="18"/>
      <c r="E130" s="19"/>
      <c r="F130" s="18"/>
      <c r="G130" s="20"/>
      <c r="H130" s="21"/>
      <c r="I130" s="21"/>
      <c r="J130" s="22"/>
      <c r="K130" s="23" t="str">
        <f aca="false">IF(H130*J130=0,"",H130*J130)</f>
        <v/>
      </c>
      <c r="L130" s="24"/>
      <c r="M130" s="24"/>
      <c r="N130" s="23" t="str">
        <f aca="false">IF(L130+M130=0,"",L130+M130)</f>
        <v/>
      </c>
      <c r="O130" s="25" t="str">
        <f aca="false">IF(OR(H130="",I130="",J130=""),"",IF(F130="Long",(I130-H130)*J130*IF(G130="",1,G130),(H130-I130)*J130*IF(G130="",1,G130)))</f>
        <v/>
      </c>
      <c r="P130" s="26" t="str">
        <f aca="false">IF(O130="","",O130-IF(N130="",0,N130))</f>
        <v/>
      </c>
      <c r="Q130" s="27" t="str">
        <f aca="false">IFERROR(IF(P130="","",P130/K130),"")</f>
        <v/>
      </c>
      <c r="R130" s="19"/>
      <c r="S130" s="18"/>
      <c r="T130" s="28"/>
    </row>
    <row r="131" customFormat="false" ht="18" hidden="false" customHeight="true" outlineLevel="0" collapsed="false">
      <c r="A131" s="3" t="str">
        <f aca="false">IF(B131&lt;&gt;"",ROW()-2,"")</f>
        <v/>
      </c>
      <c r="B131" s="4"/>
      <c r="C131" s="4"/>
      <c r="D131" s="5"/>
      <c r="E131" s="6"/>
      <c r="F131" s="5"/>
      <c r="G131" s="7"/>
      <c r="H131" s="8"/>
      <c r="I131" s="8"/>
      <c r="J131" s="9"/>
      <c r="K131" s="10" t="str">
        <f aca="false">IF(H131*J131=0,"",H131*J131)</f>
        <v/>
      </c>
      <c r="L131" s="11"/>
      <c r="M131" s="11"/>
      <c r="N131" s="10" t="str">
        <f aca="false">IF(L131+M131=0,"",L131+M131)</f>
        <v/>
      </c>
      <c r="O131" s="12" t="str">
        <f aca="false">IF(OR(H131="",I131="",J131=""),"",IF(F131="Long",(I131-H131)*J131*IF(G131="",1,G131),(H131-I131)*J131*IF(G131="",1,G131)))</f>
        <v/>
      </c>
      <c r="P131" s="13" t="str">
        <f aca="false">IF(O131="","",O131-IF(N131="",0,N131))</f>
        <v/>
      </c>
      <c r="Q131" s="14" t="str">
        <f aca="false">IFERROR(IF(P131="","",P131/K131),"")</f>
        <v/>
      </c>
      <c r="R131" s="6"/>
      <c r="S131" s="5"/>
      <c r="T131" s="15"/>
    </row>
    <row r="132" customFormat="false" ht="18" hidden="false" customHeight="true" outlineLevel="0" collapsed="false">
      <c r="A132" s="16" t="str">
        <f aca="false">IF(B132&lt;&gt;"",ROW()-2,"")</f>
        <v/>
      </c>
      <c r="B132" s="17"/>
      <c r="C132" s="17"/>
      <c r="D132" s="18"/>
      <c r="E132" s="19"/>
      <c r="F132" s="18"/>
      <c r="G132" s="20"/>
      <c r="H132" s="21"/>
      <c r="I132" s="21"/>
      <c r="J132" s="22"/>
      <c r="K132" s="23" t="str">
        <f aca="false">IF(H132*J132=0,"",H132*J132)</f>
        <v/>
      </c>
      <c r="L132" s="24"/>
      <c r="M132" s="24"/>
      <c r="N132" s="23" t="str">
        <f aca="false">IF(L132+M132=0,"",L132+M132)</f>
        <v/>
      </c>
      <c r="O132" s="25" t="str">
        <f aca="false">IF(OR(H132="",I132="",J132=""),"",IF(F132="Long",(I132-H132)*J132*IF(G132="",1,G132),(H132-I132)*J132*IF(G132="",1,G132)))</f>
        <v/>
      </c>
      <c r="P132" s="26" t="str">
        <f aca="false">IF(O132="","",O132-IF(N132="",0,N132))</f>
        <v/>
      </c>
      <c r="Q132" s="27" t="str">
        <f aca="false">IFERROR(IF(P132="","",P132/K132),"")</f>
        <v/>
      </c>
      <c r="R132" s="19"/>
      <c r="S132" s="18"/>
      <c r="T132" s="28"/>
    </row>
    <row r="133" customFormat="false" ht="18" hidden="false" customHeight="true" outlineLevel="0" collapsed="false">
      <c r="A133" s="3" t="str">
        <f aca="false">IF(B133&lt;&gt;"",ROW()-2,"")</f>
        <v/>
      </c>
      <c r="B133" s="4"/>
      <c r="C133" s="4"/>
      <c r="D133" s="5"/>
      <c r="E133" s="6"/>
      <c r="F133" s="5"/>
      <c r="G133" s="7"/>
      <c r="H133" s="8"/>
      <c r="I133" s="8"/>
      <c r="J133" s="9"/>
      <c r="K133" s="10" t="str">
        <f aca="false">IF(H133*J133=0,"",H133*J133)</f>
        <v/>
      </c>
      <c r="L133" s="11"/>
      <c r="M133" s="11"/>
      <c r="N133" s="10" t="str">
        <f aca="false">IF(L133+M133=0,"",L133+M133)</f>
        <v/>
      </c>
      <c r="O133" s="12" t="str">
        <f aca="false">IF(OR(H133="",I133="",J133=""),"",IF(F133="Long",(I133-H133)*J133*IF(G133="",1,G133),(H133-I133)*J133*IF(G133="",1,G133)))</f>
        <v/>
      </c>
      <c r="P133" s="13" t="str">
        <f aca="false">IF(O133="","",O133-IF(N133="",0,N133))</f>
        <v/>
      </c>
      <c r="Q133" s="14" t="str">
        <f aca="false">IFERROR(IF(P133="","",P133/K133),"")</f>
        <v/>
      </c>
      <c r="R133" s="6"/>
      <c r="S133" s="5"/>
      <c r="T133" s="15"/>
    </row>
    <row r="134" customFormat="false" ht="18" hidden="false" customHeight="true" outlineLevel="0" collapsed="false">
      <c r="A134" s="16" t="str">
        <f aca="false">IF(B134&lt;&gt;"",ROW()-2,"")</f>
        <v/>
      </c>
      <c r="B134" s="17"/>
      <c r="C134" s="17"/>
      <c r="D134" s="18"/>
      <c r="E134" s="19"/>
      <c r="F134" s="18"/>
      <c r="G134" s="20"/>
      <c r="H134" s="21"/>
      <c r="I134" s="21"/>
      <c r="J134" s="22"/>
      <c r="K134" s="23" t="str">
        <f aca="false">IF(H134*J134=0,"",H134*J134)</f>
        <v/>
      </c>
      <c r="L134" s="24"/>
      <c r="M134" s="24"/>
      <c r="N134" s="23" t="str">
        <f aca="false">IF(L134+M134=0,"",L134+M134)</f>
        <v/>
      </c>
      <c r="O134" s="25" t="str">
        <f aca="false">IF(OR(H134="",I134="",J134=""),"",IF(F134="Long",(I134-H134)*J134*IF(G134="",1,G134),(H134-I134)*J134*IF(G134="",1,G134)))</f>
        <v/>
      </c>
      <c r="P134" s="26" t="str">
        <f aca="false">IF(O134="","",O134-IF(N134="",0,N134))</f>
        <v/>
      </c>
      <c r="Q134" s="27" t="str">
        <f aca="false">IFERROR(IF(P134="","",P134/K134),"")</f>
        <v/>
      </c>
      <c r="R134" s="19"/>
      <c r="S134" s="18"/>
      <c r="T134" s="28"/>
    </row>
    <row r="135" customFormat="false" ht="18" hidden="false" customHeight="true" outlineLevel="0" collapsed="false">
      <c r="A135" s="3" t="str">
        <f aca="false">IF(B135&lt;&gt;"",ROW()-2,"")</f>
        <v/>
      </c>
      <c r="B135" s="4"/>
      <c r="C135" s="4"/>
      <c r="D135" s="5"/>
      <c r="E135" s="6"/>
      <c r="F135" s="5"/>
      <c r="G135" s="7"/>
      <c r="H135" s="8"/>
      <c r="I135" s="8"/>
      <c r="J135" s="9"/>
      <c r="K135" s="10" t="str">
        <f aca="false">IF(H135*J135=0,"",H135*J135)</f>
        <v/>
      </c>
      <c r="L135" s="11"/>
      <c r="M135" s="11"/>
      <c r="N135" s="10" t="str">
        <f aca="false">IF(L135+M135=0,"",L135+M135)</f>
        <v/>
      </c>
      <c r="O135" s="12" t="str">
        <f aca="false">IF(OR(H135="",I135="",J135=""),"",IF(F135="Long",(I135-H135)*J135*IF(G135="",1,G135),(H135-I135)*J135*IF(G135="",1,G135)))</f>
        <v/>
      </c>
      <c r="P135" s="13" t="str">
        <f aca="false">IF(O135="","",O135-IF(N135="",0,N135))</f>
        <v/>
      </c>
      <c r="Q135" s="14" t="str">
        <f aca="false">IFERROR(IF(P135="","",P135/K135),"")</f>
        <v/>
      </c>
      <c r="R135" s="6"/>
      <c r="S135" s="5"/>
      <c r="T135" s="15"/>
    </row>
    <row r="136" customFormat="false" ht="18" hidden="false" customHeight="true" outlineLevel="0" collapsed="false">
      <c r="A136" s="16" t="str">
        <f aca="false">IF(B136&lt;&gt;"",ROW()-2,"")</f>
        <v/>
      </c>
      <c r="B136" s="17"/>
      <c r="C136" s="17"/>
      <c r="D136" s="18"/>
      <c r="E136" s="19"/>
      <c r="F136" s="18"/>
      <c r="G136" s="20"/>
      <c r="H136" s="21"/>
      <c r="I136" s="21"/>
      <c r="J136" s="22"/>
      <c r="K136" s="23" t="str">
        <f aca="false">IF(H136*J136=0,"",H136*J136)</f>
        <v/>
      </c>
      <c r="L136" s="24"/>
      <c r="M136" s="24"/>
      <c r="N136" s="23" t="str">
        <f aca="false">IF(L136+M136=0,"",L136+M136)</f>
        <v/>
      </c>
      <c r="O136" s="25" t="str">
        <f aca="false">IF(OR(H136="",I136="",J136=""),"",IF(F136="Long",(I136-H136)*J136*IF(G136="",1,G136),(H136-I136)*J136*IF(G136="",1,G136)))</f>
        <v/>
      </c>
      <c r="P136" s="26" t="str">
        <f aca="false">IF(O136="","",O136-IF(N136="",0,N136))</f>
        <v/>
      </c>
      <c r="Q136" s="27" t="str">
        <f aca="false">IFERROR(IF(P136="","",P136/K136),"")</f>
        <v/>
      </c>
      <c r="R136" s="19"/>
      <c r="S136" s="18"/>
      <c r="T136" s="28"/>
    </row>
    <row r="137" customFormat="false" ht="18" hidden="false" customHeight="true" outlineLevel="0" collapsed="false">
      <c r="A137" s="3" t="str">
        <f aca="false">IF(B137&lt;&gt;"",ROW()-2,"")</f>
        <v/>
      </c>
      <c r="B137" s="4"/>
      <c r="C137" s="4"/>
      <c r="D137" s="5"/>
      <c r="E137" s="6"/>
      <c r="F137" s="5"/>
      <c r="G137" s="7"/>
      <c r="H137" s="8"/>
      <c r="I137" s="8"/>
      <c r="J137" s="9"/>
      <c r="K137" s="10" t="str">
        <f aca="false">IF(H137*J137=0,"",H137*J137)</f>
        <v/>
      </c>
      <c r="L137" s="11"/>
      <c r="M137" s="11"/>
      <c r="N137" s="10" t="str">
        <f aca="false">IF(L137+M137=0,"",L137+M137)</f>
        <v/>
      </c>
      <c r="O137" s="12" t="str">
        <f aca="false">IF(OR(H137="",I137="",J137=""),"",IF(F137="Long",(I137-H137)*J137*IF(G137="",1,G137),(H137-I137)*J137*IF(G137="",1,G137)))</f>
        <v/>
      </c>
      <c r="P137" s="13" t="str">
        <f aca="false">IF(O137="","",O137-IF(N137="",0,N137))</f>
        <v/>
      </c>
      <c r="Q137" s="14" t="str">
        <f aca="false">IFERROR(IF(P137="","",P137/K137),"")</f>
        <v/>
      </c>
      <c r="R137" s="6"/>
      <c r="S137" s="5"/>
      <c r="T137" s="15"/>
    </row>
    <row r="138" customFormat="false" ht="18" hidden="false" customHeight="true" outlineLevel="0" collapsed="false">
      <c r="A138" s="16" t="str">
        <f aca="false">IF(B138&lt;&gt;"",ROW()-2,"")</f>
        <v/>
      </c>
      <c r="B138" s="17"/>
      <c r="C138" s="17"/>
      <c r="D138" s="18"/>
      <c r="E138" s="19"/>
      <c r="F138" s="18"/>
      <c r="G138" s="20"/>
      <c r="H138" s="21"/>
      <c r="I138" s="21"/>
      <c r="J138" s="22"/>
      <c r="K138" s="23" t="str">
        <f aca="false">IF(H138*J138=0,"",H138*J138)</f>
        <v/>
      </c>
      <c r="L138" s="24"/>
      <c r="M138" s="24"/>
      <c r="N138" s="23" t="str">
        <f aca="false">IF(L138+M138=0,"",L138+M138)</f>
        <v/>
      </c>
      <c r="O138" s="25" t="str">
        <f aca="false">IF(OR(H138="",I138="",J138=""),"",IF(F138="Long",(I138-H138)*J138*IF(G138="",1,G138),(H138-I138)*J138*IF(G138="",1,G138)))</f>
        <v/>
      </c>
      <c r="P138" s="26" t="str">
        <f aca="false">IF(O138="","",O138-IF(N138="",0,N138))</f>
        <v/>
      </c>
      <c r="Q138" s="27" t="str">
        <f aca="false">IFERROR(IF(P138="","",P138/K138),"")</f>
        <v/>
      </c>
      <c r="R138" s="19"/>
      <c r="S138" s="18"/>
      <c r="T138" s="28"/>
    </row>
    <row r="139" customFormat="false" ht="18" hidden="false" customHeight="true" outlineLevel="0" collapsed="false">
      <c r="A139" s="3" t="str">
        <f aca="false">IF(B139&lt;&gt;"",ROW()-2,"")</f>
        <v/>
      </c>
      <c r="B139" s="4"/>
      <c r="C139" s="4"/>
      <c r="D139" s="5"/>
      <c r="E139" s="6"/>
      <c r="F139" s="5"/>
      <c r="G139" s="7"/>
      <c r="H139" s="8"/>
      <c r="I139" s="8"/>
      <c r="J139" s="9"/>
      <c r="K139" s="10" t="str">
        <f aca="false">IF(H139*J139=0,"",H139*J139)</f>
        <v/>
      </c>
      <c r="L139" s="11"/>
      <c r="M139" s="11"/>
      <c r="N139" s="10" t="str">
        <f aca="false">IF(L139+M139=0,"",L139+M139)</f>
        <v/>
      </c>
      <c r="O139" s="12" t="str">
        <f aca="false">IF(OR(H139="",I139="",J139=""),"",IF(F139="Long",(I139-H139)*J139*IF(G139="",1,G139),(H139-I139)*J139*IF(G139="",1,G139)))</f>
        <v/>
      </c>
      <c r="P139" s="13" t="str">
        <f aca="false">IF(O139="","",O139-IF(N139="",0,N139))</f>
        <v/>
      </c>
      <c r="Q139" s="14" t="str">
        <f aca="false">IFERROR(IF(P139="","",P139/K139),"")</f>
        <v/>
      </c>
      <c r="R139" s="6"/>
      <c r="S139" s="5"/>
      <c r="T139" s="15"/>
    </row>
    <row r="140" customFormat="false" ht="18" hidden="false" customHeight="true" outlineLevel="0" collapsed="false">
      <c r="A140" s="16" t="str">
        <f aca="false">IF(B140&lt;&gt;"",ROW()-2,"")</f>
        <v/>
      </c>
      <c r="B140" s="17"/>
      <c r="C140" s="17"/>
      <c r="D140" s="18"/>
      <c r="E140" s="19"/>
      <c r="F140" s="18"/>
      <c r="G140" s="20"/>
      <c r="H140" s="21"/>
      <c r="I140" s="21"/>
      <c r="J140" s="22"/>
      <c r="K140" s="23" t="str">
        <f aca="false">IF(H140*J140=0,"",H140*J140)</f>
        <v/>
      </c>
      <c r="L140" s="24"/>
      <c r="M140" s="24"/>
      <c r="N140" s="23" t="str">
        <f aca="false">IF(L140+M140=0,"",L140+M140)</f>
        <v/>
      </c>
      <c r="O140" s="25" t="str">
        <f aca="false">IF(OR(H140="",I140="",J140=""),"",IF(F140="Long",(I140-H140)*J140*IF(G140="",1,G140),(H140-I140)*J140*IF(G140="",1,G140)))</f>
        <v/>
      </c>
      <c r="P140" s="26" t="str">
        <f aca="false">IF(O140="","",O140-IF(N140="",0,N140))</f>
        <v/>
      </c>
      <c r="Q140" s="27" t="str">
        <f aca="false">IFERROR(IF(P140="","",P140/K140),"")</f>
        <v/>
      </c>
      <c r="R140" s="19"/>
      <c r="S140" s="18"/>
      <c r="T140" s="28"/>
    </row>
    <row r="141" customFormat="false" ht="18" hidden="false" customHeight="true" outlineLevel="0" collapsed="false">
      <c r="A141" s="3" t="str">
        <f aca="false">IF(B141&lt;&gt;"",ROW()-2,"")</f>
        <v/>
      </c>
      <c r="B141" s="4"/>
      <c r="C141" s="4"/>
      <c r="D141" s="5"/>
      <c r="E141" s="6"/>
      <c r="F141" s="5"/>
      <c r="G141" s="7"/>
      <c r="H141" s="8"/>
      <c r="I141" s="8"/>
      <c r="J141" s="9"/>
      <c r="K141" s="10" t="str">
        <f aca="false">IF(H141*J141=0,"",H141*J141)</f>
        <v/>
      </c>
      <c r="L141" s="11"/>
      <c r="M141" s="11"/>
      <c r="N141" s="10" t="str">
        <f aca="false">IF(L141+M141=0,"",L141+M141)</f>
        <v/>
      </c>
      <c r="O141" s="12" t="str">
        <f aca="false">IF(OR(H141="",I141="",J141=""),"",IF(F141="Long",(I141-H141)*J141*IF(G141="",1,G141),(H141-I141)*J141*IF(G141="",1,G141)))</f>
        <v/>
      </c>
      <c r="P141" s="13" t="str">
        <f aca="false">IF(O141="","",O141-IF(N141="",0,N141))</f>
        <v/>
      </c>
      <c r="Q141" s="14" t="str">
        <f aca="false">IFERROR(IF(P141="","",P141/K141),"")</f>
        <v/>
      </c>
      <c r="R141" s="6"/>
      <c r="S141" s="5"/>
      <c r="T141" s="15"/>
    </row>
    <row r="142" customFormat="false" ht="18" hidden="false" customHeight="true" outlineLevel="0" collapsed="false">
      <c r="A142" s="16" t="str">
        <f aca="false">IF(B142&lt;&gt;"",ROW()-2,"")</f>
        <v/>
      </c>
      <c r="B142" s="17"/>
      <c r="C142" s="17"/>
      <c r="D142" s="18"/>
      <c r="E142" s="19"/>
      <c r="F142" s="18"/>
      <c r="G142" s="20"/>
      <c r="H142" s="21"/>
      <c r="I142" s="21"/>
      <c r="J142" s="22"/>
      <c r="K142" s="23" t="str">
        <f aca="false">IF(H142*J142=0,"",H142*J142)</f>
        <v/>
      </c>
      <c r="L142" s="24"/>
      <c r="M142" s="24"/>
      <c r="N142" s="23" t="str">
        <f aca="false">IF(L142+M142=0,"",L142+M142)</f>
        <v/>
      </c>
      <c r="O142" s="25" t="str">
        <f aca="false">IF(OR(H142="",I142="",J142=""),"",IF(F142="Long",(I142-H142)*J142*IF(G142="",1,G142),(H142-I142)*J142*IF(G142="",1,G142)))</f>
        <v/>
      </c>
      <c r="P142" s="26" t="str">
        <f aca="false">IF(O142="","",O142-IF(N142="",0,N142))</f>
        <v/>
      </c>
      <c r="Q142" s="27" t="str">
        <f aca="false">IFERROR(IF(P142="","",P142/K142),"")</f>
        <v/>
      </c>
      <c r="R142" s="19"/>
      <c r="S142" s="18"/>
      <c r="T142" s="28"/>
    </row>
    <row r="143" customFormat="false" ht="18" hidden="false" customHeight="true" outlineLevel="0" collapsed="false">
      <c r="A143" s="3" t="str">
        <f aca="false">IF(B143&lt;&gt;"",ROW()-2,"")</f>
        <v/>
      </c>
      <c r="B143" s="4"/>
      <c r="C143" s="4"/>
      <c r="D143" s="5"/>
      <c r="E143" s="6"/>
      <c r="F143" s="5"/>
      <c r="G143" s="7"/>
      <c r="H143" s="8"/>
      <c r="I143" s="8"/>
      <c r="J143" s="9"/>
      <c r="K143" s="10" t="str">
        <f aca="false">IF(H143*J143=0,"",H143*J143)</f>
        <v/>
      </c>
      <c r="L143" s="11"/>
      <c r="M143" s="11"/>
      <c r="N143" s="10" t="str">
        <f aca="false">IF(L143+M143=0,"",L143+M143)</f>
        <v/>
      </c>
      <c r="O143" s="12" t="str">
        <f aca="false">IF(OR(H143="",I143="",J143=""),"",IF(F143="Long",(I143-H143)*J143*IF(G143="",1,G143),(H143-I143)*J143*IF(G143="",1,G143)))</f>
        <v/>
      </c>
      <c r="P143" s="13" t="str">
        <f aca="false">IF(O143="","",O143-IF(N143="",0,N143))</f>
        <v/>
      </c>
      <c r="Q143" s="14" t="str">
        <f aca="false">IFERROR(IF(P143="","",P143/K143),"")</f>
        <v/>
      </c>
      <c r="R143" s="6"/>
      <c r="S143" s="5"/>
      <c r="T143" s="15"/>
    </row>
    <row r="144" customFormat="false" ht="18" hidden="false" customHeight="true" outlineLevel="0" collapsed="false">
      <c r="A144" s="16" t="str">
        <f aca="false">IF(B144&lt;&gt;"",ROW()-2,"")</f>
        <v/>
      </c>
      <c r="B144" s="17"/>
      <c r="C144" s="17"/>
      <c r="D144" s="18"/>
      <c r="E144" s="19"/>
      <c r="F144" s="18"/>
      <c r="G144" s="20"/>
      <c r="H144" s="21"/>
      <c r="I144" s="21"/>
      <c r="J144" s="22"/>
      <c r="K144" s="23" t="str">
        <f aca="false">IF(H144*J144=0,"",H144*J144)</f>
        <v/>
      </c>
      <c r="L144" s="24"/>
      <c r="M144" s="24"/>
      <c r="N144" s="23" t="str">
        <f aca="false">IF(L144+M144=0,"",L144+M144)</f>
        <v/>
      </c>
      <c r="O144" s="25" t="str">
        <f aca="false">IF(OR(H144="",I144="",J144=""),"",IF(F144="Long",(I144-H144)*J144*IF(G144="",1,G144),(H144-I144)*J144*IF(G144="",1,G144)))</f>
        <v/>
      </c>
      <c r="P144" s="26" t="str">
        <f aca="false">IF(O144="","",O144-IF(N144="",0,N144))</f>
        <v/>
      </c>
      <c r="Q144" s="27" t="str">
        <f aca="false">IFERROR(IF(P144="","",P144/K144),"")</f>
        <v/>
      </c>
      <c r="R144" s="19"/>
      <c r="S144" s="18"/>
      <c r="T144" s="28"/>
    </row>
    <row r="145" customFormat="false" ht="18" hidden="false" customHeight="true" outlineLevel="0" collapsed="false">
      <c r="A145" s="3" t="str">
        <f aca="false">IF(B145&lt;&gt;"",ROW()-2,"")</f>
        <v/>
      </c>
      <c r="B145" s="4"/>
      <c r="C145" s="4"/>
      <c r="D145" s="5"/>
      <c r="E145" s="6"/>
      <c r="F145" s="5"/>
      <c r="G145" s="7"/>
      <c r="H145" s="8"/>
      <c r="I145" s="8"/>
      <c r="J145" s="9"/>
      <c r="K145" s="10" t="str">
        <f aca="false">IF(H145*J145=0,"",H145*J145)</f>
        <v/>
      </c>
      <c r="L145" s="11"/>
      <c r="M145" s="11"/>
      <c r="N145" s="10" t="str">
        <f aca="false">IF(L145+M145=0,"",L145+M145)</f>
        <v/>
      </c>
      <c r="O145" s="12" t="str">
        <f aca="false">IF(OR(H145="",I145="",J145=""),"",IF(F145="Long",(I145-H145)*J145*IF(G145="",1,G145),(H145-I145)*J145*IF(G145="",1,G145)))</f>
        <v/>
      </c>
      <c r="P145" s="13" t="str">
        <f aca="false">IF(O145="","",O145-IF(N145="",0,N145))</f>
        <v/>
      </c>
      <c r="Q145" s="14" t="str">
        <f aca="false">IFERROR(IF(P145="","",P145/K145),"")</f>
        <v/>
      </c>
      <c r="R145" s="6"/>
      <c r="S145" s="5"/>
      <c r="T145" s="15"/>
    </row>
    <row r="146" customFormat="false" ht="18" hidden="false" customHeight="true" outlineLevel="0" collapsed="false">
      <c r="A146" s="16" t="str">
        <f aca="false">IF(B146&lt;&gt;"",ROW()-2,"")</f>
        <v/>
      </c>
      <c r="B146" s="17"/>
      <c r="C146" s="17"/>
      <c r="D146" s="18"/>
      <c r="E146" s="19"/>
      <c r="F146" s="18"/>
      <c r="G146" s="20"/>
      <c r="H146" s="21"/>
      <c r="I146" s="21"/>
      <c r="J146" s="22"/>
      <c r="K146" s="23" t="str">
        <f aca="false">IF(H146*J146=0,"",H146*J146)</f>
        <v/>
      </c>
      <c r="L146" s="24"/>
      <c r="M146" s="24"/>
      <c r="N146" s="23" t="str">
        <f aca="false">IF(L146+M146=0,"",L146+M146)</f>
        <v/>
      </c>
      <c r="O146" s="25" t="str">
        <f aca="false">IF(OR(H146="",I146="",J146=""),"",IF(F146="Long",(I146-H146)*J146*IF(G146="",1,G146),(H146-I146)*J146*IF(G146="",1,G146)))</f>
        <v/>
      </c>
      <c r="P146" s="26" t="str">
        <f aca="false">IF(O146="","",O146-IF(N146="",0,N146))</f>
        <v/>
      </c>
      <c r="Q146" s="27" t="str">
        <f aca="false">IFERROR(IF(P146="","",P146/K146),"")</f>
        <v/>
      </c>
      <c r="R146" s="19"/>
      <c r="S146" s="18"/>
      <c r="T146" s="28"/>
    </row>
    <row r="147" customFormat="false" ht="18" hidden="false" customHeight="true" outlineLevel="0" collapsed="false">
      <c r="A147" s="3" t="str">
        <f aca="false">IF(B147&lt;&gt;"",ROW()-2,"")</f>
        <v/>
      </c>
      <c r="B147" s="4"/>
      <c r="C147" s="4"/>
      <c r="D147" s="5"/>
      <c r="E147" s="6"/>
      <c r="F147" s="5"/>
      <c r="G147" s="7"/>
      <c r="H147" s="8"/>
      <c r="I147" s="8"/>
      <c r="J147" s="9"/>
      <c r="K147" s="10" t="str">
        <f aca="false">IF(H147*J147=0,"",H147*J147)</f>
        <v/>
      </c>
      <c r="L147" s="11"/>
      <c r="M147" s="11"/>
      <c r="N147" s="10" t="str">
        <f aca="false">IF(L147+M147=0,"",L147+M147)</f>
        <v/>
      </c>
      <c r="O147" s="12" t="str">
        <f aca="false">IF(OR(H147="",I147="",J147=""),"",IF(F147="Long",(I147-H147)*J147*IF(G147="",1,G147),(H147-I147)*J147*IF(G147="",1,G147)))</f>
        <v/>
      </c>
      <c r="P147" s="13" t="str">
        <f aca="false">IF(O147="","",O147-IF(N147="",0,N147))</f>
        <v/>
      </c>
      <c r="Q147" s="14" t="str">
        <f aca="false">IFERROR(IF(P147="","",P147/K147),"")</f>
        <v/>
      </c>
      <c r="R147" s="6"/>
      <c r="S147" s="5"/>
      <c r="T147" s="15"/>
    </row>
    <row r="148" customFormat="false" ht="18" hidden="false" customHeight="true" outlineLevel="0" collapsed="false">
      <c r="A148" s="16" t="str">
        <f aca="false">IF(B148&lt;&gt;"",ROW()-2,"")</f>
        <v/>
      </c>
      <c r="B148" s="17"/>
      <c r="C148" s="17"/>
      <c r="D148" s="18"/>
      <c r="E148" s="19"/>
      <c r="F148" s="18"/>
      <c r="G148" s="20"/>
      <c r="H148" s="21"/>
      <c r="I148" s="21"/>
      <c r="J148" s="22"/>
      <c r="K148" s="23" t="str">
        <f aca="false">IF(H148*J148=0,"",H148*J148)</f>
        <v/>
      </c>
      <c r="L148" s="24"/>
      <c r="M148" s="24"/>
      <c r="N148" s="23" t="str">
        <f aca="false">IF(L148+M148=0,"",L148+M148)</f>
        <v/>
      </c>
      <c r="O148" s="25" t="str">
        <f aca="false">IF(OR(H148="",I148="",J148=""),"",IF(F148="Long",(I148-H148)*J148*IF(G148="",1,G148),(H148-I148)*J148*IF(G148="",1,G148)))</f>
        <v/>
      </c>
      <c r="P148" s="26" t="str">
        <f aca="false">IF(O148="","",O148-IF(N148="",0,N148))</f>
        <v/>
      </c>
      <c r="Q148" s="27" t="str">
        <f aca="false">IFERROR(IF(P148="","",P148/K148),"")</f>
        <v/>
      </c>
      <c r="R148" s="19"/>
      <c r="S148" s="18"/>
      <c r="T148" s="28"/>
    </row>
    <row r="149" customFormat="false" ht="18" hidden="false" customHeight="true" outlineLevel="0" collapsed="false">
      <c r="A149" s="3" t="str">
        <f aca="false">IF(B149&lt;&gt;"",ROW()-2,"")</f>
        <v/>
      </c>
      <c r="B149" s="4"/>
      <c r="C149" s="4"/>
      <c r="D149" s="5"/>
      <c r="E149" s="6"/>
      <c r="F149" s="5"/>
      <c r="G149" s="7"/>
      <c r="H149" s="8"/>
      <c r="I149" s="8"/>
      <c r="J149" s="9"/>
      <c r="K149" s="10" t="str">
        <f aca="false">IF(H149*J149=0,"",H149*J149)</f>
        <v/>
      </c>
      <c r="L149" s="11"/>
      <c r="M149" s="11"/>
      <c r="N149" s="10" t="str">
        <f aca="false">IF(L149+M149=0,"",L149+M149)</f>
        <v/>
      </c>
      <c r="O149" s="12" t="str">
        <f aca="false">IF(OR(H149="",I149="",J149=""),"",IF(F149="Long",(I149-H149)*J149*IF(G149="",1,G149),(H149-I149)*J149*IF(G149="",1,G149)))</f>
        <v/>
      </c>
      <c r="P149" s="13" t="str">
        <f aca="false">IF(O149="","",O149-IF(N149="",0,N149))</f>
        <v/>
      </c>
      <c r="Q149" s="14" t="str">
        <f aca="false">IFERROR(IF(P149="","",P149/K149),"")</f>
        <v/>
      </c>
      <c r="R149" s="6"/>
      <c r="S149" s="5"/>
      <c r="T149" s="15"/>
    </row>
    <row r="150" customFormat="false" ht="18" hidden="false" customHeight="true" outlineLevel="0" collapsed="false">
      <c r="A150" s="16" t="str">
        <f aca="false">IF(B150&lt;&gt;"",ROW()-2,"")</f>
        <v/>
      </c>
      <c r="B150" s="17"/>
      <c r="C150" s="17"/>
      <c r="D150" s="18"/>
      <c r="E150" s="19"/>
      <c r="F150" s="18"/>
      <c r="G150" s="20"/>
      <c r="H150" s="21"/>
      <c r="I150" s="21"/>
      <c r="J150" s="22"/>
      <c r="K150" s="23" t="str">
        <f aca="false">IF(H150*J150=0,"",H150*J150)</f>
        <v/>
      </c>
      <c r="L150" s="24"/>
      <c r="M150" s="24"/>
      <c r="N150" s="23" t="str">
        <f aca="false">IF(L150+M150=0,"",L150+M150)</f>
        <v/>
      </c>
      <c r="O150" s="25" t="str">
        <f aca="false">IF(OR(H150="",I150="",J150=""),"",IF(F150="Long",(I150-H150)*J150*IF(G150="",1,G150),(H150-I150)*J150*IF(G150="",1,G150)))</f>
        <v/>
      </c>
      <c r="P150" s="26" t="str">
        <f aca="false">IF(O150="","",O150-IF(N150="",0,N150))</f>
        <v/>
      </c>
      <c r="Q150" s="27" t="str">
        <f aca="false">IFERROR(IF(P150="","",P150/K150),"")</f>
        <v/>
      </c>
      <c r="R150" s="19"/>
      <c r="S150" s="18"/>
      <c r="T150" s="28"/>
    </row>
    <row r="151" customFormat="false" ht="18" hidden="false" customHeight="true" outlineLevel="0" collapsed="false">
      <c r="A151" s="3" t="str">
        <f aca="false">IF(B151&lt;&gt;"",ROW()-2,"")</f>
        <v/>
      </c>
      <c r="B151" s="4"/>
      <c r="C151" s="4"/>
      <c r="D151" s="5"/>
      <c r="E151" s="6"/>
      <c r="F151" s="5"/>
      <c r="G151" s="7"/>
      <c r="H151" s="8"/>
      <c r="I151" s="8"/>
      <c r="J151" s="9"/>
      <c r="K151" s="10" t="str">
        <f aca="false">IF(H151*J151=0,"",H151*J151)</f>
        <v/>
      </c>
      <c r="L151" s="11"/>
      <c r="M151" s="11"/>
      <c r="N151" s="10" t="str">
        <f aca="false">IF(L151+M151=0,"",L151+M151)</f>
        <v/>
      </c>
      <c r="O151" s="12" t="str">
        <f aca="false">IF(OR(H151="",I151="",J151=""),"",IF(F151="Long",(I151-H151)*J151*IF(G151="",1,G151),(H151-I151)*J151*IF(G151="",1,G151)))</f>
        <v/>
      </c>
      <c r="P151" s="13" t="str">
        <f aca="false">IF(O151="","",O151-IF(N151="",0,N151))</f>
        <v/>
      </c>
      <c r="Q151" s="14" t="str">
        <f aca="false">IFERROR(IF(P151="","",P151/K151),"")</f>
        <v/>
      </c>
      <c r="R151" s="6"/>
      <c r="S151" s="5"/>
      <c r="T151" s="15"/>
    </row>
    <row r="152" customFormat="false" ht="18" hidden="false" customHeight="true" outlineLevel="0" collapsed="false">
      <c r="A152" s="16" t="str">
        <f aca="false">IF(B152&lt;&gt;"",ROW()-2,"")</f>
        <v/>
      </c>
      <c r="B152" s="17"/>
      <c r="C152" s="17"/>
      <c r="D152" s="18"/>
      <c r="E152" s="19"/>
      <c r="F152" s="18"/>
      <c r="G152" s="20"/>
      <c r="H152" s="21"/>
      <c r="I152" s="21"/>
      <c r="J152" s="22"/>
      <c r="K152" s="23" t="str">
        <f aca="false">IF(H152*J152=0,"",H152*J152)</f>
        <v/>
      </c>
      <c r="L152" s="24"/>
      <c r="M152" s="24"/>
      <c r="N152" s="23" t="str">
        <f aca="false">IF(L152+M152=0,"",L152+M152)</f>
        <v/>
      </c>
      <c r="O152" s="25" t="str">
        <f aca="false">IF(OR(H152="",I152="",J152=""),"",IF(F152="Long",(I152-H152)*J152*IF(G152="",1,G152),(H152-I152)*J152*IF(G152="",1,G152)))</f>
        <v/>
      </c>
      <c r="P152" s="26" t="str">
        <f aca="false">IF(O152="","",O152-IF(N152="",0,N152))</f>
        <v/>
      </c>
      <c r="Q152" s="27" t="str">
        <f aca="false">IFERROR(IF(P152="","",P152/K152),"")</f>
        <v/>
      </c>
      <c r="R152" s="19"/>
      <c r="S152" s="18"/>
      <c r="T152" s="28"/>
    </row>
    <row r="153" customFormat="false" ht="18" hidden="false" customHeight="true" outlineLevel="0" collapsed="false">
      <c r="A153" s="3" t="str">
        <f aca="false">IF(B153&lt;&gt;"",ROW()-2,"")</f>
        <v/>
      </c>
      <c r="B153" s="4"/>
      <c r="C153" s="4"/>
      <c r="D153" s="5"/>
      <c r="E153" s="6"/>
      <c r="F153" s="5"/>
      <c r="G153" s="7"/>
      <c r="H153" s="8"/>
      <c r="I153" s="8"/>
      <c r="J153" s="9"/>
      <c r="K153" s="10" t="str">
        <f aca="false">IF(H153*J153=0,"",H153*J153)</f>
        <v/>
      </c>
      <c r="L153" s="11"/>
      <c r="M153" s="11"/>
      <c r="N153" s="10" t="str">
        <f aca="false">IF(L153+M153=0,"",L153+M153)</f>
        <v/>
      </c>
      <c r="O153" s="12" t="str">
        <f aca="false">IF(OR(H153="",I153="",J153=""),"",IF(F153="Long",(I153-H153)*J153*IF(G153="",1,G153),(H153-I153)*J153*IF(G153="",1,G153)))</f>
        <v/>
      </c>
      <c r="P153" s="13" t="str">
        <f aca="false">IF(O153="","",O153-IF(N153="",0,N153))</f>
        <v/>
      </c>
      <c r="Q153" s="14" t="str">
        <f aca="false">IFERROR(IF(P153="","",P153/K153),"")</f>
        <v/>
      </c>
      <c r="R153" s="6"/>
      <c r="S153" s="5"/>
      <c r="T153" s="15"/>
    </row>
    <row r="154" customFormat="false" ht="18" hidden="false" customHeight="true" outlineLevel="0" collapsed="false">
      <c r="A154" s="16" t="str">
        <f aca="false">IF(B154&lt;&gt;"",ROW()-2,"")</f>
        <v/>
      </c>
      <c r="B154" s="17"/>
      <c r="C154" s="17"/>
      <c r="D154" s="18"/>
      <c r="E154" s="19"/>
      <c r="F154" s="18"/>
      <c r="G154" s="20"/>
      <c r="H154" s="21"/>
      <c r="I154" s="21"/>
      <c r="J154" s="22"/>
      <c r="K154" s="23" t="str">
        <f aca="false">IF(H154*J154=0,"",H154*J154)</f>
        <v/>
      </c>
      <c r="L154" s="24"/>
      <c r="M154" s="24"/>
      <c r="N154" s="23" t="str">
        <f aca="false">IF(L154+M154=0,"",L154+M154)</f>
        <v/>
      </c>
      <c r="O154" s="25" t="str">
        <f aca="false">IF(OR(H154="",I154="",J154=""),"",IF(F154="Long",(I154-H154)*J154*IF(G154="",1,G154),(H154-I154)*J154*IF(G154="",1,G154)))</f>
        <v/>
      </c>
      <c r="P154" s="26" t="str">
        <f aca="false">IF(O154="","",O154-IF(N154="",0,N154))</f>
        <v/>
      </c>
      <c r="Q154" s="27" t="str">
        <f aca="false">IFERROR(IF(P154="","",P154/K154),"")</f>
        <v/>
      </c>
      <c r="R154" s="19"/>
      <c r="S154" s="18"/>
      <c r="T154" s="28"/>
    </row>
    <row r="155" customFormat="false" ht="18" hidden="false" customHeight="true" outlineLevel="0" collapsed="false">
      <c r="A155" s="3" t="str">
        <f aca="false">IF(B155&lt;&gt;"",ROW()-2,"")</f>
        <v/>
      </c>
      <c r="B155" s="4"/>
      <c r="C155" s="4"/>
      <c r="D155" s="5"/>
      <c r="E155" s="6"/>
      <c r="F155" s="5"/>
      <c r="G155" s="7"/>
      <c r="H155" s="8"/>
      <c r="I155" s="8"/>
      <c r="J155" s="9"/>
      <c r="K155" s="10" t="str">
        <f aca="false">IF(H155*J155=0,"",H155*J155)</f>
        <v/>
      </c>
      <c r="L155" s="11"/>
      <c r="M155" s="11"/>
      <c r="N155" s="10" t="str">
        <f aca="false">IF(L155+M155=0,"",L155+M155)</f>
        <v/>
      </c>
      <c r="O155" s="12" t="str">
        <f aca="false">IF(OR(H155="",I155="",J155=""),"",IF(F155="Long",(I155-H155)*J155*IF(G155="",1,G155),(H155-I155)*J155*IF(G155="",1,G155)))</f>
        <v/>
      </c>
      <c r="P155" s="13" t="str">
        <f aca="false">IF(O155="","",O155-IF(N155="",0,N155))</f>
        <v/>
      </c>
      <c r="Q155" s="14" t="str">
        <f aca="false">IFERROR(IF(P155="","",P155/K155),"")</f>
        <v/>
      </c>
      <c r="R155" s="6"/>
      <c r="S155" s="5"/>
      <c r="T155" s="15"/>
    </row>
    <row r="156" customFormat="false" ht="18" hidden="false" customHeight="true" outlineLevel="0" collapsed="false">
      <c r="A156" s="16" t="str">
        <f aca="false">IF(B156&lt;&gt;"",ROW()-2,"")</f>
        <v/>
      </c>
      <c r="B156" s="17"/>
      <c r="C156" s="17"/>
      <c r="D156" s="18"/>
      <c r="E156" s="19"/>
      <c r="F156" s="18"/>
      <c r="G156" s="20"/>
      <c r="H156" s="21"/>
      <c r="I156" s="21"/>
      <c r="J156" s="22"/>
      <c r="K156" s="23" t="str">
        <f aca="false">IF(H156*J156=0,"",H156*J156)</f>
        <v/>
      </c>
      <c r="L156" s="24"/>
      <c r="M156" s="24"/>
      <c r="N156" s="23" t="str">
        <f aca="false">IF(L156+M156=0,"",L156+M156)</f>
        <v/>
      </c>
      <c r="O156" s="25" t="str">
        <f aca="false">IF(OR(H156="",I156="",J156=""),"",IF(F156="Long",(I156-H156)*J156*IF(G156="",1,G156),(H156-I156)*J156*IF(G156="",1,G156)))</f>
        <v/>
      </c>
      <c r="P156" s="26" t="str">
        <f aca="false">IF(O156="","",O156-IF(N156="",0,N156))</f>
        <v/>
      </c>
      <c r="Q156" s="27" t="str">
        <f aca="false">IFERROR(IF(P156="","",P156/K156),"")</f>
        <v/>
      </c>
      <c r="R156" s="19"/>
      <c r="S156" s="18"/>
      <c r="T156" s="28"/>
    </row>
    <row r="157" customFormat="false" ht="18" hidden="false" customHeight="true" outlineLevel="0" collapsed="false">
      <c r="A157" s="3" t="str">
        <f aca="false">IF(B157&lt;&gt;"",ROW()-2,"")</f>
        <v/>
      </c>
      <c r="B157" s="4"/>
      <c r="C157" s="4"/>
      <c r="D157" s="5"/>
      <c r="E157" s="6"/>
      <c r="F157" s="5"/>
      <c r="G157" s="7"/>
      <c r="H157" s="8"/>
      <c r="I157" s="8"/>
      <c r="J157" s="9"/>
      <c r="K157" s="10" t="str">
        <f aca="false">IF(H157*J157=0,"",H157*J157)</f>
        <v/>
      </c>
      <c r="L157" s="11"/>
      <c r="M157" s="11"/>
      <c r="N157" s="10" t="str">
        <f aca="false">IF(L157+M157=0,"",L157+M157)</f>
        <v/>
      </c>
      <c r="O157" s="12" t="str">
        <f aca="false">IF(OR(H157="",I157="",J157=""),"",IF(F157="Long",(I157-H157)*J157*IF(G157="",1,G157),(H157-I157)*J157*IF(G157="",1,G157)))</f>
        <v/>
      </c>
      <c r="P157" s="13" t="str">
        <f aca="false">IF(O157="","",O157-IF(N157="",0,N157))</f>
        <v/>
      </c>
      <c r="Q157" s="14" t="str">
        <f aca="false">IFERROR(IF(P157="","",P157/K157),"")</f>
        <v/>
      </c>
      <c r="R157" s="6"/>
      <c r="S157" s="5"/>
      <c r="T157" s="15"/>
    </row>
    <row r="158" customFormat="false" ht="18" hidden="false" customHeight="true" outlineLevel="0" collapsed="false">
      <c r="A158" s="16" t="str">
        <f aca="false">IF(B158&lt;&gt;"",ROW()-2,"")</f>
        <v/>
      </c>
      <c r="B158" s="17"/>
      <c r="C158" s="17"/>
      <c r="D158" s="18"/>
      <c r="E158" s="19"/>
      <c r="F158" s="18"/>
      <c r="G158" s="20"/>
      <c r="H158" s="21"/>
      <c r="I158" s="21"/>
      <c r="J158" s="22"/>
      <c r="K158" s="23" t="str">
        <f aca="false">IF(H158*J158=0,"",H158*J158)</f>
        <v/>
      </c>
      <c r="L158" s="24"/>
      <c r="M158" s="24"/>
      <c r="N158" s="23" t="str">
        <f aca="false">IF(L158+M158=0,"",L158+M158)</f>
        <v/>
      </c>
      <c r="O158" s="25" t="str">
        <f aca="false">IF(OR(H158="",I158="",J158=""),"",IF(F158="Long",(I158-H158)*J158*IF(G158="",1,G158),(H158-I158)*J158*IF(G158="",1,G158)))</f>
        <v/>
      </c>
      <c r="P158" s="26" t="str">
        <f aca="false">IF(O158="","",O158-IF(N158="",0,N158))</f>
        <v/>
      </c>
      <c r="Q158" s="27" t="str">
        <f aca="false">IFERROR(IF(P158="","",P158/K158),"")</f>
        <v/>
      </c>
      <c r="R158" s="19"/>
      <c r="S158" s="18"/>
      <c r="T158" s="28"/>
    </row>
    <row r="159" customFormat="false" ht="18" hidden="false" customHeight="true" outlineLevel="0" collapsed="false">
      <c r="A159" s="3" t="str">
        <f aca="false">IF(B159&lt;&gt;"",ROW()-2,"")</f>
        <v/>
      </c>
      <c r="B159" s="4"/>
      <c r="C159" s="4"/>
      <c r="D159" s="5"/>
      <c r="E159" s="6"/>
      <c r="F159" s="5"/>
      <c r="G159" s="7"/>
      <c r="H159" s="8"/>
      <c r="I159" s="8"/>
      <c r="J159" s="9"/>
      <c r="K159" s="10" t="str">
        <f aca="false">IF(H159*J159=0,"",H159*J159)</f>
        <v/>
      </c>
      <c r="L159" s="11"/>
      <c r="M159" s="11"/>
      <c r="N159" s="10" t="str">
        <f aca="false">IF(L159+M159=0,"",L159+M159)</f>
        <v/>
      </c>
      <c r="O159" s="12" t="str">
        <f aca="false">IF(OR(H159="",I159="",J159=""),"",IF(F159="Long",(I159-H159)*J159*IF(G159="",1,G159),(H159-I159)*J159*IF(G159="",1,G159)))</f>
        <v/>
      </c>
      <c r="P159" s="13" t="str">
        <f aca="false">IF(O159="","",O159-IF(N159="",0,N159))</f>
        <v/>
      </c>
      <c r="Q159" s="14" t="str">
        <f aca="false">IFERROR(IF(P159="","",P159/K159),"")</f>
        <v/>
      </c>
      <c r="R159" s="6"/>
      <c r="S159" s="5"/>
      <c r="T159" s="15"/>
    </row>
    <row r="160" customFormat="false" ht="18" hidden="false" customHeight="true" outlineLevel="0" collapsed="false">
      <c r="A160" s="16" t="str">
        <f aca="false">IF(B160&lt;&gt;"",ROW()-2,"")</f>
        <v/>
      </c>
      <c r="B160" s="17"/>
      <c r="C160" s="17"/>
      <c r="D160" s="18"/>
      <c r="E160" s="19"/>
      <c r="F160" s="18"/>
      <c r="G160" s="20"/>
      <c r="H160" s="21"/>
      <c r="I160" s="21"/>
      <c r="J160" s="22"/>
      <c r="K160" s="23" t="str">
        <f aca="false">IF(H160*J160=0,"",H160*J160)</f>
        <v/>
      </c>
      <c r="L160" s="24"/>
      <c r="M160" s="24"/>
      <c r="N160" s="23" t="str">
        <f aca="false">IF(L160+M160=0,"",L160+M160)</f>
        <v/>
      </c>
      <c r="O160" s="25" t="str">
        <f aca="false">IF(OR(H160="",I160="",J160=""),"",IF(F160="Long",(I160-H160)*J160*IF(G160="",1,G160),(H160-I160)*J160*IF(G160="",1,G160)))</f>
        <v/>
      </c>
      <c r="P160" s="26" t="str">
        <f aca="false">IF(O160="","",O160-IF(N160="",0,N160))</f>
        <v/>
      </c>
      <c r="Q160" s="27" t="str">
        <f aca="false">IFERROR(IF(P160="","",P160/K160),"")</f>
        <v/>
      </c>
      <c r="R160" s="19"/>
      <c r="S160" s="18"/>
      <c r="T160" s="28"/>
    </row>
    <row r="161" customFormat="false" ht="18" hidden="false" customHeight="true" outlineLevel="0" collapsed="false">
      <c r="A161" s="3" t="str">
        <f aca="false">IF(B161&lt;&gt;"",ROW()-2,"")</f>
        <v/>
      </c>
      <c r="B161" s="4"/>
      <c r="C161" s="4"/>
      <c r="D161" s="5"/>
      <c r="E161" s="6"/>
      <c r="F161" s="5"/>
      <c r="G161" s="7"/>
      <c r="H161" s="8"/>
      <c r="I161" s="8"/>
      <c r="J161" s="9"/>
      <c r="K161" s="10" t="str">
        <f aca="false">IF(H161*J161=0,"",H161*J161)</f>
        <v/>
      </c>
      <c r="L161" s="11"/>
      <c r="M161" s="11"/>
      <c r="N161" s="10" t="str">
        <f aca="false">IF(L161+M161=0,"",L161+M161)</f>
        <v/>
      </c>
      <c r="O161" s="12" t="str">
        <f aca="false">IF(OR(H161="",I161="",J161=""),"",IF(F161="Long",(I161-H161)*J161*IF(G161="",1,G161),(H161-I161)*J161*IF(G161="",1,G161)))</f>
        <v/>
      </c>
      <c r="P161" s="13" t="str">
        <f aca="false">IF(O161="","",O161-IF(N161="",0,N161))</f>
        <v/>
      </c>
      <c r="Q161" s="14" t="str">
        <f aca="false">IFERROR(IF(P161="","",P161/K161),"")</f>
        <v/>
      </c>
      <c r="R161" s="6"/>
      <c r="S161" s="5"/>
      <c r="T161" s="15"/>
    </row>
    <row r="162" customFormat="false" ht="18" hidden="false" customHeight="true" outlineLevel="0" collapsed="false">
      <c r="A162" s="16" t="str">
        <f aca="false">IF(B162&lt;&gt;"",ROW()-2,"")</f>
        <v/>
      </c>
      <c r="B162" s="17"/>
      <c r="C162" s="17"/>
      <c r="D162" s="18"/>
      <c r="E162" s="19"/>
      <c r="F162" s="18"/>
      <c r="G162" s="20"/>
      <c r="H162" s="21"/>
      <c r="I162" s="21"/>
      <c r="J162" s="22"/>
      <c r="K162" s="23" t="str">
        <f aca="false">IF(H162*J162=0,"",H162*J162)</f>
        <v/>
      </c>
      <c r="L162" s="24"/>
      <c r="M162" s="24"/>
      <c r="N162" s="23" t="str">
        <f aca="false">IF(L162+M162=0,"",L162+M162)</f>
        <v/>
      </c>
      <c r="O162" s="25" t="str">
        <f aca="false">IF(OR(H162="",I162="",J162=""),"",IF(F162="Long",(I162-H162)*J162*IF(G162="",1,G162),(H162-I162)*J162*IF(G162="",1,G162)))</f>
        <v/>
      </c>
      <c r="P162" s="26" t="str">
        <f aca="false">IF(O162="","",O162-IF(N162="",0,N162))</f>
        <v/>
      </c>
      <c r="Q162" s="27" t="str">
        <f aca="false">IFERROR(IF(P162="","",P162/K162),"")</f>
        <v/>
      </c>
      <c r="R162" s="19"/>
      <c r="S162" s="18"/>
      <c r="T162" s="28"/>
    </row>
    <row r="163" customFormat="false" ht="18" hidden="false" customHeight="true" outlineLevel="0" collapsed="false">
      <c r="A163" s="3" t="str">
        <f aca="false">IF(B163&lt;&gt;"",ROW()-2,"")</f>
        <v/>
      </c>
      <c r="B163" s="4"/>
      <c r="C163" s="4"/>
      <c r="D163" s="5"/>
      <c r="E163" s="6"/>
      <c r="F163" s="5"/>
      <c r="G163" s="7"/>
      <c r="H163" s="8"/>
      <c r="I163" s="8"/>
      <c r="J163" s="9"/>
      <c r="K163" s="10" t="str">
        <f aca="false">IF(H163*J163=0,"",H163*J163)</f>
        <v/>
      </c>
      <c r="L163" s="11"/>
      <c r="M163" s="11"/>
      <c r="N163" s="10" t="str">
        <f aca="false">IF(L163+M163=0,"",L163+M163)</f>
        <v/>
      </c>
      <c r="O163" s="12" t="str">
        <f aca="false">IF(OR(H163="",I163="",J163=""),"",IF(F163="Long",(I163-H163)*J163*IF(G163="",1,G163),(H163-I163)*J163*IF(G163="",1,G163)))</f>
        <v/>
      </c>
      <c r="P163" s="13" t="str">
        <f aca="false">IF(O163="","",O163-IF(N163="",0,N163))</f>
        <v/>
      </c>
      <c r="Q163" s="14" t="str">
        <f aca="false">IFERROR(IF(P163="","",P163/K163),"")</f>
        <v/>
      </c>
      <c r="R163" s="6"/>
      <c r="S163" s="5"/>
      <c r="T163" s="15"/>
    </row>
    <row r="164" customFormat="false" ht="18" hidden="false" customHeight="true" outlineLevel="0" collapsed="false">
      <c r="A164" s="16" t="str">
        <f aca="false">IF(B164&lt;&gt;"",ROW()-2,"")</f>
        <v/>
      </c>
      <c r="B164" s="17"/>
      <c r="C164" s="17"/>
      <c r="D164" s="18"/>
      <c r="E164" s="19"/>
      <c r="F164" s="18"/>
      <c r="G164" s="20"/>
      <c r="H164" s="21"/>
      <c r="I164" s="21"/>
      <c r="J164" s="22"/>
      <c r="K164" s="23" t="str">
        <f aca="false">IF(H164*J164=0,"",H164*J164)</f>
        <v/>
      </c>
      <c r="L164" s="24"/>
      <c r="M164" s="24"/>
      <c r="N164" s="23" t="str">
        <f aca="false">IF(L164+M164=0,"",L164+M164)</f>
        <v/>
      </c>
      <c r="O164" s="25" t="str">
        <f aca="false">IF(OR(H164="",I164="",J164=""),"",IF(F164="Long",(I164-H164)*J164*IF(G164="",1,G164),(H164-I164)*J164*IF(G164="",1,G164)))</f>
        <v/>
      </c>
      <c r="P164" s="26" t="str">
        <f aca="false">IF(O164="","",O164-IF(N164="",0,N164))</f>
        <v/>
      </c>
      <c r="Q164" s="27" t="str">
        <f aca="false">IFERROR(IF(P164="","",P164/K164),"")</f>
        <v/>
      </c>
      <c r="R164" s="19"/>
      <c r="S164" s="18"/>
      <c r="T164" s="28"/>
    </row>
    <row r="165" customFormat="false" ht="18" hidden="false" customHeight="true" outlineLevel="0" collapsed="false">
      <c r="A165" s="3" t="str">
        <f aca="false">IF(B165&lt;&gt;"",ROW()-2,"")</f>
        <v/>
      </c>
      <c r="B165" s="4"/>
      <c r="C165" s="4"/>
      <c r="D165" s="5"/>
      <c r="E165" s="6"/>
      <c r="F165" s="5"/>
      <c r="G165" s="7"/>
      <c r="H165" s="8"/>
      <c r="I165" s="8"/>
      <c r="J165" s="9"/>
      <c r="K165" s="10" t="str">
        <f aca="false">IF(H165*J165=0,"",H165*J165)</f>
        <v/>
      </c>
      <c r="L165" s="11"/>
      <c r="M165" s="11"/>
      <c r="N165" s="10" t="str">
        <f aca="false">IF(L165+M165=0,"",L165+M165)</f>
        <v/>
      </c>
      <c r="O165" s="12" t="str">
        <f aca="false">IF(OR(H165="",I165="",J165=""),"",IF(F165="Long",(I165-H165)*J165*IF(G165="",1,G165),(H165-I165)*J165*IF(G165="",1,G165)))</f>
        <v/>
      </c>
      <c r="P165" s="13" t="str">
        <f aca="false">IF(O165="","",O165-IF(N165="",0,N165))</f>
        <v/>
      </c>
      <c r="Q165" s="14" t="str">
        <f aca="false">IFERROR(IF(P165="","",P165/K165),"")</f>
        <v/>
      </c>
      <c r="R165" s="6"/>
      <c r="S165" s="5"/>
      <c r="T165" s="15"/>
    </row>
    <row r="166" customFormat="false" ht="18" hidden="false" customHeight="true" outlineLevel="0" collapsed="false">
      <c r="A166" s="16" t="str">
        <f aca="false">IF(B166&lt;&gt;"",ROW()-2,"")</f>
        <v/>
      </c>
      <c r="B166" s="17"/>
      <c r="C166" s="17"/>
      <c r="D166" s="18"/>
      <c r="E166" s="19"/>
      <c r="F166" s="18"/>
      <c r="G166" s="20"/>
      <c r="H166" s="21"/>
      <c r="I166" s="21"/>
      <c r="J166" s="22"/>
      <c r="K166" s="23" t="str">
        <f aca="false">IF(H166*J166=0,"",H166*J166)</f>
        <v/>
      </c>
      <c r="L166" s="24"/>
      <c r="M166" s="24"/>
      <c r="N166" s="23" t="str">
        <f aca="false">IF(L166+M166=0,"",L166+M166)</f>
        <v/>
      </c>
      <c r="O166" s="25" t="str">
        <f aca="false">IF(OR(H166="",I166="",J166=""),"",IF(F166="Long",(I166-H166)*J166*IF(G166="",1,G166),(H166-I166)*J166*IF(G166="",1,G166)))</f>
        <v/>
      </c>
      <c r="P166" s="26" t="str">
        <f aca="false">IF(O166="","",O166-IF(N166="",0,N166))</f>
        <v/>
      </c>
      <c r="Q166" s="27" t="str">
        <f aca="false">IFERROR(IF(P166="","",P166/K166),"")</f>
        <v/>
      </c>
      <c r="R166" s="19"/>
      <c r="S166" s="18"/>
      <c r="T166" s="28"/>
    </row>
    <row r="167" customFormat="false" ht="18" hidden="false" customHeight="true" outlineLevel="0" collapsed="false">
      <c r="A167" s="3" t="str">
        <f aca="false">IF(B167&lt;&gt;"",ROW()-2,"")</f>
        <v/>
      </c>
      <c r="B167" s="4"/>
      <c r="C167" s="4"/>
      <c r="D167" s="5"/>
      <c r="E167" s="6"/>
      <c r="F167" s="5"/>
      <c r="G167" s="7"/>
      <c r="H167" s="8"/>
      <c r="I167" s="8"/>
      <c r="J167" s="9"/>
      <c r="K167" s="10" t="str">
        <f aca="false">IF(H167*J167=0,"",H167*J167)</f>
        <v/>
      </c>
      <c r="L167" s="11"/>
      <c r="M167" s="11"/>
      <c r="N167" s="10" t="str">
        <f aca="false">IF(L167+M167=0,"",L167+M167)</f>
        <v/>
      </c>
      <c r="O167" s="12" t="str">
        <f aca="false">IF(OR(H167="",I167="",J167=""),"",IF(F167="Long",(I167-H167)*J167*IF(G167="",1,G167),(H167-I167)*J167*IF(G167="",1,G167)))</f>
        <v/>
      </c>
      <c r="P167" s="13" t="str">
        <f aca="false">IF(O167="","",O167-IF(N167="",0,N167))</f>
        <v/>
      </c>
      <c r="Q167" s="14" t="str">
        <f aca="false">IFERROR(IF(P167="","",P167/K167),"")</f>
        <v/>
      </c>
      <c r="R167" s="6"/>
      <c r="S167" s="5"/>
      <c r="T167" s="15"/>
    </row>
    <row r="168" customFormat="false" ht="18" hidden="false" customHeight="true" outlineLevel="0" collapsed="false">
      <c r="A168" s="16" t="str">
        <f aca="false">IF(B168&lt;&gt;"",ROW()-2,"")</f>
        <v/>
      </c>
      <c r="B168" s="17"/>
      <c r="C168" s="17"/>
      <c r="D168" s="18"/>
      <c r="E168" s="19"/>
      <c r="F168" s="18"/>
      <c r="G168" s="20"/>
      <c r="H168" s="21"/>
      <c r="I168" s="21"/>
      <c r="J168" s="22"/>
      <c r="K168" s="23" t="str">
        <f aca="false">IF(H168*J168=0,"",H168*J168)</f>
        <v/>
      </c>
      <c r="L168" s="24"/>
      <c r="M168" s="24"/>
      <c r="N168" s="23" t="str">
        <f aca="false">IF(L168+M168=0,"",L168+M168)</f>
        <v/>
      </c>
      <c r="O168" s="25" t="str">
        <f aca="false">IF(OR(H168="",I168="",J168=""),"",IF(F168="Long",(I168-H168)*J168*IF(G168="",1,G168),(H168-I168)*J168*IF(G168="",1,G168)))</f>
        <v/>
      </c>
      <c r="P168" s="26" t="str">
        <f aca="false">IF(O168="","",O168-IF(N168="",0,N168))</f>
        <v/>
      </c>
      <c r="Q168" s="27" t="str">
        <f aca="false">IFERROR(IF(P168="","",P168/K168),"")</f>
        <v/>
      </c>
      <c r="R168" s="19"/>
      <c r="S168" s="18"/>
      <c r="T168" s="28"/>
    </row>
    <row r="169" customFormat="false" ht="18" hidden="false" customHeight="true" outlineLevel="0" collapsed="false">
      <c r="A169" s="3" t="str">
        <f aca="false">IF(B169&lt;&gt;"",ROW()-2,"")</f>
        <v/>
      </c>
      <c r="B169" s="4"/>
      <c r="C169" s="4"/>
      <c r="D169" s="5"/>
      <c r="E169" s="6"/>
      <c r="F169" s="5"/>
      <c r="G169" s="7"/>
      <c r="H169" s="8"/>
      <c r="I169" s="8"/>
      <c r="J169" s="9"/>
      <c r="K169" s="10" t="str">
        <f aca="false">IF(H169*J169=0,"",H169*J169)</f>
        <v/>
      </c>
      <c r="L169" s="11"/>
      <c r="M169" s="11"/>
      <c r="N169" s="10" t="str">
        <f aca="false">IF(L169+M169=0,"",L169+M169)</f>
        <v/>
      </c>
      <c r="O169" s="12" t="str">
        <f aca="false">IF(OR(H169="",I169="",J169=""),"",IF(F169="Long",(I169-H169)*J169*IF(G169="",1,G169),(H169-I169)*J169*IF(G169="",1,G169)))</f>
        <v/>
      </c>
      <c r="P169" s="13" t="str">
        <f aca="false">IF(O169="","",O169-IF(N169="",0,N169))</f>
        <v/>
      </c>
      <c r="Q169" s="14" t="str">
        <f aca="false">IFERROR(IF(P169="","",P169/K169),"")</f>
        <v/>
      </c>
      <c r="R169" s="6"/>
      <c r="S169" s="5"/>
      <c r="T169" s="15"/>
    </row>
    <row r="170" customFormat="false" ht="18" hidden="false" customHeight="true" outlineLevel="0" collapsed="false">
      <c r="A170" s="16" t="str">
        <f aca="false">IF(B170&lt;&gt;"",ROW()-2,"")</f>
        <v/>
      </c>
      <c r="B170" s="17"/>
      <c r="C170" s="17"/>
      <c r="D170" s="18"/>
      <c r="E170" s="19"/>
      <c r="F170" s="18"/>
      <c r="G170" s="20"/>
      <c r="H170" s="21"/>
      <c r="I170" s="21"/>
      <c r="J170" s="22"/>
      <c r="K170" s="23" t="str">
        <f aca="false">IF(H170*J170=0,"",H170*J170)</f>
        <v/>
      </c>
      <c r="L170" s="24"/>
      <c r="M170" s="24"/>
      <c r="N170" s="23" t="str">
        <f aca="false">IF(L170+M170=0,"",L170+M170)</f>
        <v/>
      </c>
      <c r="O170" s="25" t="str">
        <f aca="false">IF(OR(H170="",I170="",J170=""),"",IF(F170="Long",(I170-H170)*J170*IF(G170="",1,G170),(H170-I170)*J170*IF(G170="",1,G170)))</f>
        <v/>
      </c>
      <c r="P170" s="26" t="str">
        <f aca="false">IF(O170="","",O170-IF(N170="",0,N170))</f>
        <v/>
      </c>
      <c r="Q170" s="27" t="str">
        <f aca="false">IFERROR(IF(P170="","",P170/K170),"")</f>
        <v/>
      </c>
      <c r="R170" s="19"/>
      <c r="S170" s="18"/>
      <c r="T170" s="28"/>
    </row>
    <row r="171" customFormat="false" ht="18" hidden="false" customHeight="true" outlineLevel="0" collapsed="false">
      <c r="A171" s="3" t="str">
        <f aca="false">IF(B171&lt;&gt;"",ROW()-2,"")</f>
        <v/>
      </c>
      <c r="B171" s="4"/>
      <c r="C171" s="4"/>
      <c r="D171" s="5"/>
      <c r="E171" s="6"/>
      <c r="F171" s="5"/>
      <c r="G171" s="7"/>
      <c r="H171" s="8"/>
      <c r="I171" s="8"/>
      <c r="J171" s="9"/>
      <c r="K171" s="10" t="str">
        <f aca="false">IF(H171*J171=0,"",H171*J171)</f>
        <v/>
      </c>
      <c r="L171" s="11"/>
      <c r="M171" s="11"/>
      <c r="N171" s="10" t="str">
        <f aca="false">IF(L171+M171=0,"",L171+M171)</f>
        <v/>
      </c>
      <c r="O171" s="12" t="str">
        <f aca="false">IF(OR(H171="",I171="",J171=""),"",IF(F171="Long",(I171-H171)*J171*IF(G171="",1,G171),(H171-I171)*J171*IF(G171="",1,G171)))</f>
        <v/>
      </c>
      <c r="P171" s="13" t="str">
        <f aca="false">IF(O171="","",O171-IF(N171="",0,N171))</f>
        <v/>
      </c>
      <c r="Q171" s="14" t="str">
        <f aca="false">IFERROR(IF(P171="","",P171/K171),"")</f>
        <v/>
      </c>
      <c r="R171" s="6"/>
      <c r="S171" s="5"/>
      <c r="T171" s="15"/>
    </row>
    <row r="172" customFormat="false" ht="18" hidden="false" customHeight="true" outlineLevel="0" collapsed="false">
      <c r="A172" s="16" t="str">
        <f aca="false">IF(B172&lt;&gt;"",ROW()-2,"")</f>
        <v/>
      </c>
      <c r="B172" s="17"/>
      <c r="C172" s="17"/>
      <c r="D172" s="18"/>
      <c r="E172" s="19"/>
      <c r="F172" s="18"/>
      <c r="G172" s="20"/>
      <c r="H172" s="21"/>
      <c r="I172" s="21"/>
      <c r="J172" s="22"/>
      <c r="K172" s="23" t="str">
        <f aca="false">IF(H172*J172=0,"",H172*J172)</f>
        <v/>
      </c>
      <c r="L172" s="24"/>
      <c r="M172" s="24"/>
      <c r="N172" s="23" t="str">
        <f aca="false">IF(L172+M172=0,"",L172+M172)</f>
        <v/>
      </c>
      <c r="O172" s="25" t="str">
        <f aca="false">IF(OR(H172="",I172="",J172=""),"",IF(F172="Long",(I172-H172)*J172*IF(G172="",1,G172),(H172-I172)*J172*IF(G172="",1,G172)))</f>
        <v/>
      </c>
      <c r="P172" s="26" t="str">
        <f aca="false">IF(O172="","",O172-IF(N172="",0,N172))</f>
        <v/>
      </c>
      <c r="Q172" s="27" t="str">
        <f aca="false">IFERROR(IF(P172="","",P172/K172),"")</f>
        <v/>
      </c>
      <c r="R172" s="19"/>
      <c r="S172" s="18"/>
      <c r="T172" s="28"/>
    </row>
    <row r="173" customFormat="false" ht="18" hidden="false" customHeight="true" outlineLevel="0" collapsed="false">
      <c r="A173" s="3" t="str">
        <f aca="false">IF(B173&lt;&gt;"",ROW()-2,"")</f>
        <v/>
      </c>
      <c r="B173" s="4"/>
      <c r="C173" s="4"/>
      <c r="D173" s="5"/>
      <c r="E173" s="6"/>
      <c r="F173" s="5"/>
      <c r="G173" s="7"/>
      <c r="H173" s="8"/>
      <c r="I173" s="8"/>
      <c r="J173" s="9"/>
      <c r="K173" s="10" t="str">
        <f aca="false">IF(H173*J173=0,"",H173*J173)</f>
        <v/>
      </c>
      <c r="L173" s="11"/>
      <c r="M173" s="11"/>
      <c r="N173" s="10" t="str">
        <f aca="false">IF(L173+M173=0,"",L173+M173)</f>
        <v/>
      </c>
      <c r="O173" s="12" t="str">
        <f aca="false">IF(OR(H173="",I173="",J173=""),"",IF(F173="Long",(I173-H173)*J173*IF(G173="",1,G173),(H173-I173)*J173*IF(G173="",1,G173)))</f>
        <v/>
      </c>
      <c r="P173" s="13" t="str">
        <f aca="false">IF(O173="","",O173-IF(N173="",0,N173))</f>
        <v/>
      </c>
      <c r="Q173" s="14" t="str">
        <f aca="false">IFERROR(IF(P173="","",P173/K173),"")</f>
        <v/>
      </c>
      <c r="R173" s="6"/>
      <c r="S173" s="5"/>
      <c r="T173" s="15"/>
    </row>
    <row r="174" customFormat="false" ht="18" hidden="false" customHeight="true" outlineLevel="0" collapsed="false">
      <c r="A174" s="16" t="str">
        <f aca="false">IF(B174&lt;&gt;"",ROW()-2,"")</f>
        <v/>
      </c>
      <c r="B174" s="17"/>
      <c r="C174" s="17"/>
      <c r="D174" s="18"/>
      <c r="E174" s="19"/>
      <c r="F174" s="18"/>
      <c r="G174" s="20"/>
      <c r="H174" s="21"/>
      <c r="I174" s="21"/>
      <c r="J174" s="22"/>
      <c r="K174" s="23" t="str">
        <f aca="false">IF(H174*J174=0,"",H174*J174)</f>
        <v/>
      </c>
      <c r="L174" s="24"/>
      <c r="M174" s="24"/>
      <c r="N174" s="23" t="str">
        <f aca="false">IF(L174+M174=0,"",L174+M174)</f>
        <v/>
      </c>
      <c r="O174" s="25" t="str">
        <f aca="false">IF(OR(H174="",I174="",J174=""),"",IF(F174="Long",(I174-H174)*J174*IF(G174="",1,G174),(H174-I174)*J174*IF(G174="",1,G174)))</f>
        <v/>
      </c>
      <c r="P174" s="26" t="str">
        <f aca="false">IF(O174="","",O174-IF(N174="",0,N174))</f>
        <v/>
      </c>
      <c r="Q174" s="27" t="str">
        <f aca="false">IFERROR(IF(P174="","",P174/K174),"")</f>
        <v/>
      </c>
      <c r="R174" s="19"/>
      <c r="S174" s="18"/>
      <c r="T174" s="28"/>
    </row>
    <row r="175" customFormat="false" ht="18" hidden="false" customHeight="true" outlineLevel="0" collapsed="false">
      <c r="A175" s="3" t="str">
        <f aca="false">IF(B175&lt;&gt;"",ROW()-2,"")</f>
        <v/>
      </c>
      <c r="B175" s="4"/>
      <c r="C175" s="4"/>
      <c r="D175" s="5"/>
      <c r="E175" s="6"/>
      <c r="F175" s="5"/>
      <c r="G175" s="7"/>
      <c r="H175" s="8"/>
      <c r="I175" s="8"/>
      <c r="J175" s="9"/>
      <c r="K175" s="10" t="str">
        <f aca="false">IF(H175*J175=0,"",H175*J175)</f>
        <v/>
      </c>
      <c r="L175" s="11"/>
      <c r="M175" s="11"/>
      <c r="N175" s="10" t="str">
        <f aca="false">IF(L175+M175=0,"",L175+M175)</f>
        <v/>
      </c>
      <c r="O175" s="12" t="str">
        <f aca="false">IF(OR(H175="",I175="",J175=""),"",IF(F175="Long",(I175-H175)*J175*IF(G175="",1,G175),(H175-I175)*J175*IF(G175="",1,G175)))</f>
        <v/>
      </c>
      <c r="P175" s="13" t="str">
        <f aca="false">IF(O175="","",O175-IF(N175="",0,N175))</f>
        <v/>
      </c>
      <c r="Q175" s="14" t="str">
        <f aca="false">IFERROR(IF(P175="","",P175/K175),"")</f>
        <v/>
      </c>
      <c r="R175" s="6"/>
      <c r="S175" s="5"/>
      <c r="T175" s="15"/>
    </row>
    <row r="176" customFormat="false" ht="18" hidden="false" customHeight="true" outlineLevel="0" collapsed="false">
      <c r="A176" s="16" t="str">
        <f aca="false">IF(B176&lt;&gt;"",ROW()-2,"")</f>
        <v/>
      </c>
      <c r="B176" s="17"/>
      <c r="C176" s="17"/>
      <c r="D176" s="18"/>
      <c r="E176" s="19"/>
      <c r="F176" s="18"/>
      <c r="G176" s="20"/>
      <c r="H176" s="21"/>
      <c r="I176" s="21"/>
      <c r="J176" s="22"/>
      <c r="K176" s="23" t="str">
        <f aca="false">IF(H176*J176=0,"",H176*J176)</f>
        <v/>
      </c>
      <c r="L176" s="24"/>
      <c r="M176" s="24"/>
      <c r="N176" s="23" t="str">
        <f aca="false">IF(L176+M176=0,"",L176+M176)</f>
        <v/>
      </c>
      <c r="O176" s="25" t="str">
        <f aca="false">IF(OR(H176="",I176="",J176=""),"",IF(F176="Long",(I176-H176)*J176*IF(G176="",1,G176),(H176-I176)*J176*IF(G176="",1,G176)))</f>
        <v/>
      </c>
      <c r="P176" s="26" t="str">
        <f aca="false">IF(O176="","",O176-IF(N176="",0,N176))</f>
        <v/>
      </c>
      <c r="Q176" s="27" t="str">
        <f aca="false">IFERROR(IF(P176="","",P176/K176),"")</f>
        <v/>
      </c>
      <c r="R176" s="19"/>
      <c r="S176" s="18"/>
      <c r="T176" s="28"/>
    </row>
    <row r="177" customFormat="false" ht="18" hidden="false" customHeight="true" outlineLevel="0" collapsed="false">
      <c r="A177" s="3" t="str">
        <f aca="false">IF(B177&lt;&gt;"",ROW()-2,"")</f>
        <v/>
      </c>
      <c r="B177" s="4"/>
      <c r="C177" s="4"/>
      <c r="D177" s="5"/>
      <c r="E177" s="6"/>
      <c r="F177" s="5"/>
      <c r="G177" s="7"/>
      <c r="H177" s="8"/>
      <c r="I177" s="8"/>
      <c r="J177" s="9"/>
      <c r="K177" s="10" t="str">
        <f aca="false">IF(H177*J177=0,"",H177*J177)</f>
        <v/>
      </c>
      <c r="L177" s="11"/>
      <c r="M177" s="11"/>
      <c r="N177" s="10" t="str">
        <f aca="false">IF(L177+M177=0,"",L177+M177)</f>
        <v/>
      </c>
      <c r="O177" s="12" t="str">
        <f aca="false">IF(OR(H177="",I177="",J177=""),"",IF(F177="Long",(I177-H177)*J177*IF(G177="",1,G177),(H177-I177)*J177*IF(G177="",1,G177)))</f>
        <v/>
      </c>
      <c r="P177" s="13" t="str">
        <f aca="false">IF(O177="","",O177-IF(N177="",0,N177))</f>
        <v/>
      </c>
      <c r="Q177" s="14" t="str">
        <f aca="false">IFERROR(IF(P177="","",P177/K177),"")</f>
        <v/>
      </c>
      <c r="R177" s="6"/>
      <c r="S177" s="5"/>
      <c r="T177" s="15"/>
    </row>
    <row r="178" customFormat="false" ht="18" hidden="false" customHeight="true" outlineLevel="0" collapsed="false">
      <c r="A178" s="16" t="str">
        <f aca="false">IF(B178&lt;&gt;"",ROW()-2,"")</f>
        <v/>
      </c>
      <c r="B178" s="17"/>
      <c r="C178" s="17"/>
      <c r="D178" s="18"/>
      <c r="E178" s="19"/>
      <c r="F178" s="18"/>
      <c r="G178" s="20"/>
      <c r="H178" s="21"/>
      <c r="I178" s="21"/>
      <c r="J178" s="22"/>
      <c r="K178" s="23" t="str">
        <f aca="false">IF(H178*J178=0,"",H178*J178)</f>
        <v/>
      </c>
      <c r="L178" s="24"/>
      <c r="M178" s="24"/>
      <c r="N178" s="23" t="str">
        <f aca="false">IF(L178+M178=0,"",L178+M178)</f>
        <v/>
      </c>
      <c r="O178" s="25" t="str">
        <f aca="false">IF(OR(H178="",I178="",J178=""),"",IF(F178="Long",(I178-H178)*J178*IF(G178="",1,G178),(H178-I178)*J178*IF(G178="",1,G178)))</f>
        <v/>
      </c>
      <c r="P178" s="26" t="str">
        <f aca="false">IF(O178="","",O178-IF(N178="",0,N178))</f>
        <v/>
      </c>
      <c r="Q178" s="27" t="str">
        <f aca="false">IFERROR(IF(P178="","",P178/K178),"")</f>
        <v/>
      </c>
      <c r="R178" s="19"/>
      <c r="S178" s="18"/>
      <c r="T178" s="28"/>
    </row>
    <row r="179" customFormat="false" ht="18" hidden="false" customHeight="true" outlineLevel="0" collapsed="false">
      <c r="A179" s="3" t="str">
        <f aca="false">IF(B179&lt;&gt;"",ROW()-2,"")</f>
        <v/>
      </c>
      <c r="B179" s="4"/>
      <c r="C179" s="4"/>
      <c r="D179" s="5"/>
      <c r="E179" s="6"/>
      <c r="F179" s="5"/>
      <c r="G179" s="7"/>
      <c r="H179" s="8"/>
      <c r="I179" s="8"/>
      <c r="J179" s="9"/>
      <c r="K179" s="10" t="str">
        <f aca="false">IF(H179*J179=0,"",H179*J179)</f>
        <v/>
      </c>
      <c r="L179" s="11"/>
      <c r="M179" s="11"/>
      <c r="N179" s="10" t="str">
        <f aca="false">IF(L179+M179=0,"",L179+M179)</f>
        <v/>
      </c>
      <c r="O179" s="12" t="str">
        <f aca="false">IF(OR(H179="",I179="",J179=""),"",IF(F179="Long",(I179-H179)*J179*IF(G179="",1,G179),(H179-I179)*J179*IF(G179="",1,G179)))</f>
        <v/>
      </c>
      <c r="P179" s="13" t="str">
        <f aca="false">IF(O179="","",O179-IF(N179="",0,N179))</f>
        <v/>
      </c>
      <c r="Q179" s="14" t="str">
        <f aca="false">IFERROR(IF(P179="","",P179/K179),"")</f>
        <v/>
      </c>
      <c r="R179" s="6"/>
      <c r="S179" s="5"/>
      <c r="T179" s="15"/>
    </row>
    <row r="180" customFormat="false" ht="18" hidden="false" customHeight="true" outlineLevel="0" collapsed="false">
      <c r="A180" s="16" t="str">
        <f aca="false">IF(B180&lt;&gt;"",ROW()-2,"")</f>
        <v/>
      </c>
      <c r="B180" s="17"/>
      <c r="C180" s="17"/>
      <c r="D180" s="18"/>
      <c r="E180" s="19"/>
      <c r="F180" s="18"/>
      <c r="G180" s="20"/>
      <c r="H180" s="21"/>
      <c r="I180" s="21"/>
      <c r="J180" s="22"/>
      <c r="K180" s="23" t="str">
        <f aca="false">IF(H180*J180=0,"",H180*J180)</f>
        <v/>
      </c>
      <c r="L180" s="24"/>
      <c r="M180" s="24"/>
      <c r="N180" s="23" t="str">
        <f aca="false">IF(L180+M180=0,"",L180+M180)</f>
        <v/>
      </c>
      <c r="O180" s="25" t="str">
        <f aca="false">IF(OR(H180="",I180="",J180=""),"",IF(F180="Long",(I180-H180)*J180*IF(G180="",1,G180),(H180-I180)*J180*IF(G180="",1,G180)))</f>
        <v/>
      </c>
      <c r="P180" s="26" t="str">
        <f aca="false">IF(O180="","",O180-IF(N180="",0,N180))</f>
        <v/>
      </c>
      <c r="Q180" s="27" t="str">
        <f aca="false">IFERROR(IF(P180="","",P180/K180),"")</f>
        <v/>
      </c>
      <c r="R180" s="19"/>
      <c r="S180" s="18"/>
      <c r="T180" s="28"/>
    </row>
    <row r="181" customFormat="false" ht="18" hidden="false" customHeight="true" outlineLevel="0" collapsed="false">
      <c r="A181" s="3" t="str">
        <f aca="false">IF(B181&lt;&gt;"",ROW()-2,"")</f>
        <v/>
      </c>
      <c r="B181" s="4"/>
      <c r="C181" s="4"/>
      <c r="D181" s="5"/>
      <c r="E181" s="6"/>
      <c r="F181" s="5"/>
      <c r="G181" s="7"/>
      <c r="H181" s="8"/>
      <c r="I181" s="8"/>
      <c r="J181" s="9"/>
      <c r="K181" s="10" t="str">
        <f aca="false">IF(H181*J181=0,"",H181*J181)</f>
        <v/>
      </c>
      <c r="L181" s="11"/>
      <c r="M181" s="11"/>
      <c r="N181" s="10" t="str">
        <f aca="false">IF(L181+M181=0,"",L181+M181)</f>
        <v/>
      </c>
      <c r="O181" s="12" t="str">
        <f aca="false">IF(OR(H181="",I181="",J181=""),"",IF(F181="Long",(I181-H181)*J181*IF(G181="",1,G181),(H181-I181)*J181*IF(G181="",1,G181)))</f>
        <v/>
      </c>
      <c r="P181" s="13" t="str">
        <f aca="false">IF(O181="","",O181-IF(N181="",0,N181))</f>
        <v/>
      </c>
      <c r="Q181" s="14" t="str">
        <f aca="false">IFERROR(IF(P181="","",P181/K181),"")</f>
        <v/>
      </c>
      <c r="R181" s="6"/>
      <c r="S181" s="5"/>
      <c r="T181" s="15"/>
    </row>
    <row r="182" customFormat="false" ht="18" hidden="false" customHeight="true" outlineLevel="0" collapsed="false">
      <c r="A182" s="16" t="str">
        <f aca="false">IF(B182&lt;&gt;"",ROW()-2,"")</f>
        <v/>
      </c>
      <c r="B182" s="17"/>
      <c r="C182" s="17"/>
      <c r="D182" s="18"/>
      <c r="E182" s="19"/>
      <c r="F182" s="18"/>
      <c r="G182" s="20"/>
      <c r="H182" s="21"/>
      <c r="I182" s="21"/>
      <c r="J182" s="22"/>
      <c r="K182" s="23" t="str">
        <f aca="false">IF(H182*J182=0,"",H182*J182)</f>
        <v/>
      </c>
      <c r="L182" s="24"/>
      <c r="M182" s="24"/>
      <c r="N182" s="23" t="str">
        <f aca="false">IF(L182+M182=0,"",L182+M182)</f>
        <v/>
      </c>
      <c r="O182" s="25" t="str">
        <f aca="false">IF(OR(H182="",I182="",J182=""),"",IF(F182="Long",(I182-H182)*J182*IF(G182="",1,G182),(H182-I182)*J182*IF(G182="",1,G182)))</f>
        <v/>
      </c>
      <c r="P182" s="26" t="str">
        <f aca="false">IF(O182="","",O182-IF(N182="",0,N182))</f>
        <v/>
      </c>
      <c r="Q182" s="27" t="str">
        <f aca="false">IFERROR(IF(P182="","",P182/K182),"")</f>
        <v/>
      </c>
      <c r="R182" s="19"/>
      <c r="S182" s="18"/>
      <c r="T182" s="28"/>
    </row>
    <row r="183" customFormat="false" ht="18" hidden="false" customHeight="true" outlineLevel="0" collapsed="false">
      <c r="A183" s="3" t="str">
        <f aca="false">IF(B183&lt;&gt;"",ROW()-2,"")</f>
        <v/>
      </c>
      <c r="B183" s="4"/>
      <c r="C183" s="4"/>
      <c r="D183" s="5"/>
      <c r="E183" s="6"/>
      <c r="F183" s="5"/>
      <c r="G183" s="7"/>
      <c r="H183" s="8"/>
      <c r="I183" s="8"/>
      <c r="J183" s="9"/>
      <c r="K183" s="10" t="str">
        <f aca="false">IF(H183*J183=0,"",H183*J183)</f>
        <v/>
      </c>
      <c r="L183" s="11"/>
      <c r="M183" s="11"/>
      <c r="N183" s="10" t="str">
        <f aca="false">IF(L183+M183=0,"",L183+M183)</f>
        <v/>
      </c>
      <c r="O183" s="12" t="str">
        <f aca="false">IF(OR(H183="",I183="",J183=""),"",IF(F183="Long",(I183-H183)*J183*IF(G183="",1,G183),(H183-I183)*J183*IF(G183="",1,G183)))</f>
        <v/>
      </c>
      <c r="P183" s="13" t="str">
        <f aca="false">IF(O183="","",O183-IF(N183="",0,N183))</f>
        <v/>
      </c>
      <c r="Q183" s="14" t="str">
        <f aca="false">IFERROR(IF(P183="","",P183/K183),"")</f>
        <v/>
      </c>
      <c r="R183" s="6"/>
      <c r="S183" s="5"/>
      <c r="T183" s="15"/>
    </row>
    <row r="184" customFormat="false" ht="18" hidden="false" customHeight="true" outlineLevel="0" collapsed="false">
      <c r="A184" s="16" t="str">
        <f aca="false">IF(B184&lt;&gt;"",ROW()-2,"")</f>
        <v/>
      </c>
      <c r="B184" s="17"/>
      <c r="C184" s="17"/>
      <c r="D184" s="18"/>
      <c r="E184" s="19"/>
      <c r="F184" s="18"/>
      <c r="G184" s="20"/>
      <c r="H184" s="21"/>
      <c r="I184" s="21"/>
      <c r="J184" s="22"/>
      <c r="K184" s="23" t="str">
        <f aca="false">IF(H184*J184=0,"",H184*J184)</f>
        <v/>
      </c>
      <c r="L184" s="24"/>
      <c r="M184" s="24"/>
      <c r="N184" s="23" t="str">
        <f aca="false">IF(L184+M184=0,"",L184+M184)</f>
        <v/>
      </c>
      <c r="O184" s="25" t="str">
        <f aca="false">IF(OR(H184="",I184="",J184=""),"",IF(F184="Long",(I184-H184)*J184*IF(G184="",1,G184),(H184-I184)*J184*IF(G184="",1,G184)))</f>
        <v/>
      </c>
      <c r="P184" s="26" t="str">
        <f aca="false">IF(O184="","",O184-IF(N184="",0,N184))</f>
        <v/>
      </c>
      <c r="Q184" s="27" t="str">
        <f aca="false">IFERROR(IF(P184="","",P184/K184),"")</f>
        <v/>
      </c>
      <c r="R184" s="19"/>
      <c r="S184" s="18"/>
      <c r="T184" s="28"/>
    </row>
    <row r="185" customFormat="false" ht="18" hidden="false" customHeight="true" outlineLevel="0" collapsed="false">
      <c r="A185" s="3" t="str">
        <f aca="false">IF(B185&lt;&gt;"",ROW()-2,"")</f>
        <v/>
      </c>
      <c r="B185" s="4"/>
      <c r="C185" s="4"/>
      <c r="D185" s="5"/>
      <c r="E185" s="6"/>
      <c r="F185" s="5"/>
      <c r="G185" s="7"/>
      <c r="H185" s="8"/>
      <c r="I185" s="8"/>
      <c r="J185" s="9"/>
      <c r="K185" s="10" t="str">
        <f aca="false">IF(H185*J185=0,"",H185*J185)</f>
        <v/>
      </c>
      <c r="L185" s="11"/>
      <c r="M185" s="11"/>
      <c r="N185" s="10" t="str">
        <f aca="false">IF(L185+M185=0,"",L185+M185)</f>
        <v/>
      </c>
      <c r="O185" s="12" t="str">
        <f aca="false">IF(OR(H185="",I185="",J185=""),"",IF(F185="Long",(I185-H185)*J185*IF(G185="",1,G185),(H185-I185)*J185*IF(G185="",1,G185)))</f>
        <v/>
      </c>
      <c r="P185" s="13" t="str">
        <f aca="false">IF(O185="","",O185-IF(N185="",0,N185))</f>
        <v/>
      </c>
      <c r="Q185" s="14" t="str">
        <f aca="false">IFERROR(IF(P185="","",P185/K185),"")</f>
        <v/>
      </c>
      <c r="R185" s="6"/>
      <c r="S185" s="5"/>
      <c r="T185" s="15"/>
    </row>
    <row r="186" customFormat="false" ht="18" hidden="false" customHeight="true" outlineLevel="0" collapsed="false">
      <c r="A186" s="16" t="str">
        <f aca="false">IF(B186&lt;&gt;"",ROW()-2,"")</f>
        <v/>
      </c>
      <c r="B186" s="17"/>
      <c r="C186" s="17"/>
      <c r="D186" s="18"/>
      <c r="E186" s="19"/>
      <c r="F186" s="18"/>
      <c r="G186" s="20"/>
      <c r="H186" s="21"/>
      <c r="I186" s="21"/>
      <c r="J186" s="22"/>
      <c r="K186" s="23" t="str">
        <f aca="false">IF(H186*J186=0,"",H186*J186)</f>
        <v/>
      </c>
      <c r="L186" s="24"/>
      <c r="M186" s="24"/>
      <c r="N186" s="23" t="str">
        <f aca="false">IF(L186+M186=0,"",L186+M186)</f>
        <v/>
      </c>
      <c r="O186" s="25" t="str">
        <f aca="false">IF(OR(H186="",I186="",J186=""),"",IF(F186="Long",(I186-H186)*J186*IF(G186="",1,G186),(H186-I186)*J186*IF(G186="",1,G186)))</f>
        <v/>
      </c>
      <c r="P186" s="26" t="str">
        <f aca="false">IF(O186="","",O186-IF(N186="",0,N186))</f>
        <v/>
      </c>
      <c r="Q186" s="27" t="str">
        <f aca="false">IFERROR(IF(P186="","",P186/K186),"")</f>
        <v/>
      </c>
      <c r="R186" s="19"/>
      <c r="S186" s="18"/>
      <c r="T186" s="28"/>
    </row>
    <row r="187" customFormat="false" ht="18" hidden="false" customHeight="true" outlineLevel="0" collapsed="false">
      <c r="A187" s="3" t="str">
        <f aca="false">IF(B187&lt;&gt;"",ROW()-2,"")</f>
        <v/>
      </c>
      <c r="B187" s="4"/>
      <c r="C187" s="4"/>
      <c r="D187" s="5"/>
      <c r="E187" s="6"/>
      <c r="F187" s="5"/>
      <c r="G187" s="7"/>
      <c r="H187" s="8"/>
      <c r="I187" s="8"/>
      <c r="J187" s="9"/>
      <c r="K187" s="10" t="str">
        <f aca="false">IF(H187*J187=0,"",H187*J187)</f>
        <v/>
      </c>
      <c r="L187" s="11"/>
      <c r="M187" s="11"/>
      <c r="N187" s="10" t="str">
        <f aca="false">IF(L187+M187=0,"",L187+M187)</f>
        <v/>
      </c>
      <c r="O187" s="12" t="str">
        <f aca="false">IF(OR(H187="",I187="",J187=""),"",IF(F187="Long",(I187-H187)*J187*IF(G187="",1,G187),(H187-I187)*J187*IF(G187="",1,G187)))</f>
        <v/>
      </c>
      <c r="P187" s="13" t="str">
        <f aca="false">IF(O187="","",O187-IF(N187="",0,N187))</f>
        <v/>
      </c>
      <c r="Q187" s="14" t="str">
        <f aca="false">IFERROR(IF(P187="","",P187/K187),"")</f>
        <v/>
      </c>
      <c r="R187" s="6"/>
      <c r="S187" s="5"/>
      <c r="T187" s="15"/>
    </row>
    <row r="188" customFormat="false" ht="18" hidden="false" customHeight="true" outlineLevel="0" collapsed="false">
      <c r="A188" s="16" t="str">
        <f aca="false">IF(B188&lt;&gt;"",ROW()-2,"")</f>
        <v/>
      </c>
      <c r="B188" s="17"/>
      <c r="C188" s="17"/>
      <c r="D188" s="18"/>
      <c r="E188" s="19"/>
      <c r="F188" s="18"/>
      <c r="G188" s="20"/>
      <c r="H188" s="21"/>
      <c r="I188" s="21"/>
      <c r="J188" s="22"/>
      <c r="K188" s="23" t="str">
        <f aca="false">IF(H188*J188=0,"",H188*J188)</f>
        <v/>
      </c>
      <c r="L188" s="24"/>
      <c r="M188" s="24"/>
      <c r="N188" s="23" t="str">
        <f aca="false">IF(L188+M188=0,"",L188+M188)</f>
        <v/>
      </c>
      <c r="O188" s="25" t="str">
        <f aca="false">IF(OR(H188="",I188="",J188=""),"",IF(F188="Long",(I188-H188)*J188*IF(G188="",1,G188),(H188-I188)*J188*IF(G188="",1,G188)))</f>
        <v/>
      </c>
      <c r="P188" s="26" t="str">
        <f aca="false">IF(O188="","",O188-IF(N188="",0,N188))</f>
        <v/>
      </c>
      <c r="Q188" s="27" t="str">
        <f aca="false">IFERROR(IF(P188="","",P188/K188),"")</f>
        <v/>
      </c>
      <c r="R188" s="19"/>
      <c r="S188" s="18"/>
      <c r="T188" s="28"/>
    </row>
    <row r="189" customFormat="false" ht="18" hidden="false" customHeight="true" outlineLevel="0" collapsed="false">
      <c r="A189" s="3" t="str">
        <f aca="false">IF(B189&lt;&gt;"",ROW()-2,"")</f>
        <v/>
      </c>
      <c r="B189" s="4"/>
      <c r="C189" s="4"/>
      <c r="D189" s="5"/>
      <c r="E189" s="6"/>
      <c r="F189" s="5"/>
      <c r="G189" s="7"/>
      <c r="H189" s="8"/>
      <c r="I189" s="8"/>
      <c r="J189" s="9"/>
      <c r="K189" s="10" t="str">
        <f aca="false">IF(H189*J189=0,"",H189*J189)</f>
        <v/>
      </c>
      <c r="L189" s="11"/>
      <c r="M189" s="11"/>
      <c r="N189" s="10" t="str">
        <f aca="false">IF(L189+M189=0,"",L189+M189)</f>
        <v/>
      </c>
      <c r="O189" s="12" t="str">
        <f aca="false">IF(OR(H189="",I189="",J189=""),"",IF(F189="Long",(I189-H189)*J189*IF(G189="",1,G189),(H189-I189)*J189*IF(G189="",1,G189)))</f>
        <v/>
      </c>
      <c r="P189" s="13" t="str">
        <f aca="false">IF(O189="","",O189-IF(N189="",0,N189))</f>
        <v/>
      </c>
      <c r="Q189" s="14" t="str">
        <f aca="false">IFERROR(IF(P189="","",P189/K189),"")</f>
        <v/>
      </c>
      <c r="R189" s="6"/>
      <c r="S189" s="5"/>
      <c r="T189" s="15"/>
    </row>
    <row r="190" customFormat="false" ht="18" hidden="false" customHeight="true" outlineLevel="0" collapsed="false">
      <c r="A190" s="16" t="str">
        <f aca="false">IF(B190&lt;&gt;"",ROW()-2,"")</f>
        <v/>
      </c>
      <c r="B190" s="17"/>
      <c r="C190" s="17"/>
      <c r="D190" s="18"/>
      <c r="E190" s="19"/>
      <c r="F190" s="18"/>
      <c r="G190" s="20"/>
      <c r="H190" s="21"/>
      <c r="I190" s="21"/>
      <c r="J190" s="22"/>
      <c r="K190" s="23" t="str">
        <f aca="false">IF(H190*J190=0,"",H190*J190)</f>
        <v/>
      </c>
      <c r="L190" s="24"/>
      <c r="M190" s="24"/>
      <c r="N190" s="23" t="str">
        <f aca="false">IF(L190+M190=0,"",L190+M190)</f>
        <v/>
      </c>
      <c r="O190" s="25" t="str">
        <f aca="false">IF(OR(H190="",I190="",J190=""),"",IF(F190="Long",(I190-H190)*J190*IF(G190="",1,G190),(H190-I190)*J190*IF(G190="",1,G190)))</f>
        <v/>
      </c>
      <c r="P190" s="26" t="str">
        <f aca="false">IF(O190="","",O190-IF(N190="",0,N190))</f>
        <v/>
      </c>
      <c r="Q190" s="27" t="str">
        <f aca="false">IFERROR(IF(P190="","",P190/K190),"")</f>
        <v/>
      </c>
      <c r="R190" s="19"/>
      <c r="S190" s="18"/>
      <c r="T190" s="28"/>
    </row>
    <row r="191" customFormat="false" ht="18" hidden="false" customHeight="true" outlineLevel="0" collapsed="false">
      <c r="A191" s="3" t="str">
        <f aca="false">IF(B191&lt;&gt;"",ROW()-2,"")</f>
        <v/>
      </c>
      <c r="B191" s="4"/>
      <c r="C191" s="4"/>
      <c r="D191" s="5"/>
      <c r="E191" s="6"/>
      <c r="F191" s="5"/>
      <c r="G191" s="7"/>
      <c r="H191" s="8"/>
      <c r="I191" s="8"/>
      <c r="J191" s="9"/>
      <c r="K191" s="10" t="str">
        <f aca="false">IF(H191*J191=0,"",H191*J191)</f>
        <v/>
      </c>
      <c r="L191" s="11"/>
      <c r="M191" s="11"/>
      <c r="N191" s="10" t="str">
        <f aca="false">IF(L191+M191=0,"",L191+M191)</f>
        <v/>
      </c>
      <c r="O191" s="12" t="str">
        <f aca="false">IF(OR(H191="",I191="",J191=""),"",IF(F191="Long",(I191-H191)*J191*IF(G191="",1,G191),(H191-I191)*J191*IF(G191="",1,G191)))</f>
        <v/>
      </c>
      <c r="P191" s="13" t="str">
        <f aca="false">IF(O191="","",O191-IF(N191="",0,N191))</f>
        <v/>
      </c>
      <c r="Q191" s="14" t="str">
        <f aca="false">IFERROR(IF(P191="","",P191/K191),"")</f>
        <v/>
      </c>
      <c r="R191" s="6"/>
      <c r="S191" s="5"/>
      <c r="T191" s="15"/>
    </row>
    <row r="192" customFormat="false" ht="18" hidden="false" customHeight="true" outlineLevel="0" collapsed="false">
      <c r="A192" s="16" t="str">
        <f aca="false">IF(B192&lt;&gt;"",ROW()-2,"")</f>
        <v/>
      </c>
      <c r="B192" s="17"/>
      <c r="C192" s="17"/>
      <c r="D192" s="18"/>
      <c r="E192" s="19"/>
      <c r="F192" s="18"/>
      <c r="G192" s="20"/>
      <c r="H192" s="21"/>
      <c r="I192" s="21"/>
      <c r="J192" s="22"/>
      <c r="K192" s="23" t="str">
        <f aca="false">IF(H192*J192=0,"",H192*J192)</f>
        <v/>
      </c>
      <c r="L192" s="24"/>
      <c r="M192" s="24"/>
      <c r="N192" s="23" t="str">
        <f aca="false">IF(L192+M192=0,"",L192+M192)</f>
        <v/>
      </c>
      <c r="O192" s="25" t="str">
        <f aca="false">IF(OR(H192="",I192="",J192=""),"",IF(F192="Long",(I192-H192)*J192*IF(G192="",1,G192),(H192-I192)*J192*IF(G192="",1,G192)))</f>
        <v/>
      </c>
      <c r="P192" s="26" t="str">
        <f aca="false">IF(O192="","",O192-IF(N192="",0,N192))</f>
        <v/>
      </c>
      <c r="Q192" s="27" t="str">
        <f aca="false">IFERROR(IF(P192="","",P192/K192),"")</f>
        <v/>
      </c>
      <c r="R192" s="19"/>
      <c r="S192" s="18"/>
      <c r="T192" s="28"/>
    </row>
    <row r="193" customFormat="false" ht="18" hidden="false" customHeight="true" outlineLevel="0" collapsed="false">
      <c r="A193" s="3" t="str">
        <f aca="false">IF(B193&lt;&gt;"",ROW()-2,"")</f>
        <v/>
      </c>
      <c r="B193" s="4"/>
      <c r="C193" s="4"/>
      <c r="D193" s="5"/>
      <c r="E193" s="6"/>
      <c r="F193" s="5"/>
      <c r="G193" s="7"/>
      <c r="H193" s="8"/>
      <c r="I193" s="8"/>
      <c r="J193" s="9"/>
      <c r="K193" s="10" t="str">
        <f aca="false">IF(H193*J193=0,"",H193*J193)</f>
        <v/>
      </c>
      <c r="L193" s="11"/>
      <c r="M193" s="11"/>
      <c r="N193" s="10" t="str">
        <f aca="false">IF(L193+M193=0,"",L193+M193)</f>
        <v/>
      </c>
      <c r="O193" s="12" t="str">
        <f aca="false">IF(OR(H193="",I193="",J193=""),"",IF(F193="Long",(I193-H193)*J193*IF(G193="",1,G193),(H193-I193)*J193*IF(G193="",1,G193)))</f>
        <v/>
      </c>
      <c r="P193" s="13" t="str">
        <f aca="false">IF(O193="","",O193-IF(N193="",0,N193))</f>
        <v/>
      </c>
      <c r="Q193" s="14" t="str">
        <f aca="false">IFERROR(IF(P193="","",P193/K193),"")</f>
        <v/>
      </c>
      <c r="R193" s="6"/>
      <c r="S193" s="5"/>
      <c r="T193" s="15"/>
    </row>
    <row r="194" customFormat="false" ht="18" hidden="false" customHeight="true" outlineLevel="0" collapsed="false">
      <c r="A194" s="16" t="str">
        <f aca="false">IF(B194&lt;&gt;"",ROW()-2,"")</f>
        <v/>
      </c>
      <c r="B194" s="17"/>
      <c r="C194" s="17"/>
      <c r="D194" s="18"/>
      <c r="E194" s="19"/>
      <c r="F194" s="18"/>
      <c r="G194" s="20"/>
      <c r="H194" s="21"/>
      <c r="I194" s="21"/>
      <c r="J194" s="22"/>
      <c r="K194" s="23" t="str">
        <f aca="false">IF(H194*J194=0,"",H194*J194)</f>
        <v/>
      </c>
      <c r="L194" s="24"/>
      <c r="M194" s="24"/>
      <c r="N194" s="23" t="str">
        <f aca="false">IF(L194+M194=0,"",L194+M194)</f>
        <v/>
      </c>
      <c r="O194" s="25" t="str">
        <f aca="false">IF(OR(H194="",I194="",J194=""),"",IF(F194="Long",(I194-H194)*J194*IF(G194="",1,G194),(H194-I194)*J194*IF(G194="",1,G194)))</f>
        <v/>
      </c>
      <c r="P194" s="26" t="str">
        <f aca="false">IF(O194="","",O194-IF(N194="",0,N194))</f>
        <v/>
      </c>
      <c r="Q194" s="27" t="str">
        <f aca="false">IFERROR(IF(P194="","",P194/K194),"")</f>
        <v/>
      </c>
      <c r="R194" s="19"/>
      <c r="S194" s="18"/>
      <c r="T194" s="28"/>
    </row>
    <row r="195" customFormat="false" ht="18" hidden="false" customHeight="true" outlineLevel="0" collapsed="false">
      <c r="A195" s="3" t="str">
        <f aca="false">IF(B195&lt;&gt;"",ROW()-2,"")</f>
        <v/>
      </c>
      <c r="B195" s="4"/>
      <c r="C195" s="4"/>
      <c r="D195" s="5"/>
      <c r="E195" s="6"/>
      <c r="F195" s="5"/>
      <c r="G195" s="7"/>
      <c r="H195" s="8"/>
      <c r="I195" s="8"/>
      <c r="J195" s="9"/>
      <c r="K195" s="10" t="str">
        <f aca="false">IF(H195*J195=0,"",H195*J195)</f>
        <v/>
      </c>
      <c r="L195" s="11"/>
      <c r="M195" s="11"/>
      <c r="N195" s="10" t="str">
        <f aca="false">IF(L195+M195=0,"",L195+M195)</f>
        <v/>
      </c>
      <c r="O195" s="12" t="str">
        <f aca="false">IF(OR(H195="",I195="",J195=""),"",IF(F195="Long",(I195-H195)*J195*IF(G195="",1,G195),(H195-I195)*J195*IF(G195="",1,G195)))</f>
        <v/>
      </c>
      <c r="P195" s="13" t="str">
        <f aca="false">IF(O195="","",O195-IF(N195="",0,N195))</f>
        <v/>
      </c>
      <c r="Q195" s="14" t="str">
        <f aca="false">IFERROR(IF(P195="","",P195/K195),"")</f>
        <v/>
      </c>
      <c r="R195" s="6"/>
      <c r="S195" s="5"/>
      <c r="T195" s="15"/>
    </row>
    <row r="196" customFormat="false" ht="18" hidden="false" customHeight="true" outlineLevel="0" collapsed="false">
      <c r="A196" s="16" t="str">
        <f aca="false">IF(B196&lt;&gt;"",ROW()-2,"")</f>
        <v/>
      </c>
      <c r="B196" s="17"/>
      <c r="C196" s="17"/>
      <c r="D196" s="18"/>
      <c r="E196" s="19"/>
      <c r="F196" s="18"/>
      <c r="G196" s="20"/>
      <c r="H196" s="21"/>
      <c r="I196" s="21"/>
      <c r="J196" s="22"/>
      <c r="K196" s="23" t="str">
        <f aca="false">IF(H196*J196=0,"",H196*J196)</f>
        <v/>
      </c>
      <c r="L196" s="24"/>
      <c r="M196" s="24"/>
      <c r="N196" s="23" t="str">
        <f aca="false">IF(L196+M196=0,"",L196+M196)</f>
        <v/>
      </c>
      <c r="O196" s="25" t="str">
        <f aca="false">IF(OR(H196="",I196="",J196=""),"",IF(F196="Long",(I196-H196)*J196*IF(G196="",1,G196),(H196-I196)*J196*IF(G196="",1,G196)))</f>
        <v/>
      </c>
      <c r="P196" s="26" t="str">
        <f aca="false">IF(O196="","",O196-IF(N196="",0,N196))</f>
        <v/>
      </c>
      <c r="Q196" s="27" t="str">
        <f aca="false">IFERROR(IF(P196="","",P196/K196),"")</f>
        <v/>
      </c>
      <c r="R196" s="19"/>
      <c r="S196" s="18"/>
      <c r="T196" s="28"/>
    </row>
    <row r="197" customFormat="false" ht="18" hidden="false" customHeight="true" outlineLevel="0" collapsed="false">
      <c r="A197" s="3" t="str">
        <f aca="false">IF(B197&lt;&gt;"",ROW()-2,"")</f>
        <v/>
      </c>
      <c r="B197" s="4"/>
      <c r="C197" s="4"/>
      <c r="D197" s="5"/>
      <c r="E197" s="6"/>
      <c r="F197" s="5"/>
      <c r="G197" s="7"/>
      <c r="H197" s="8"/>
      <c r="I197" s="8"/>
      <c r="J197" s="9"/>
      <c r="K197" s="10" t="str">
        <f aca="false">IF(H197*J197=0,"",H197*J197)</f>
        <v/>
      </c>
      <c r="L197" s="11"/>
      <c r="M197" s="11"/>
      <c r="N197" s="10" t="str">
        <f aca="false">IF(L197+M197=0,"",L197+M197)</f>
        <v/>
      </c>
      <c r="O197" s="12" t="str">
        <f aca="false">IF(OR(H197="",I197="",J197=""),"",IF(F197="Long",(I197-H197)*J197*IF(G197="",1,G197),(H197-I197)*J197*IF(G197="",1,G197)))</f>
        <v/>
      </c>
      <c r="P197" s="13" t="str">
        <f aca="false">IF(O197="","",O197-IF(N197="",0,N197))</f>
        <v/>
      </c>
      <c r="Q197" s="14" t="str">
        <f aca="false">IFERROR(IF(P197="","",P197/K197),"")</f>
        <v/>
      </c>
      <c r="R197" s="6"/>
      <c r="S197" s="5"/>
      <c r="T197" s="15"/>
    </row>
    <row r="198" customFormat="false" ht="18" hidden="false" customHeight="true" outlineLevel="0" collapsed="false">
      <c r="A198" s="16" t="str">
        <f aca="false">IF(B198&lt;&gt;"",ROW()-2,"")</f>
        <v/>
      </c>
      <c r="B198" s="17"/>
      <c r="C198" s="17"/>
      <c r="D198" s="18"/>
      <c r="E198" s="19"/>
      <c r="F198" s="18"/>
      <c r="G198" s="20"/>
      <c r="H198" s="21"/>
      <c r="I198" s="21"/>
      <c r="J198" s="22"/>
      <c r="K198" s="23" t="str">
        <f aca="false">IF(H198*J198=0,"",H198*J198)</f>
        <v/>
      </c>
      <c r="L198" s="24"/>
      <c r="M198" s="24"/>
      <c r="N198" s="23" t="str">
        <f aca="false">IF(L198+M198=0,"",L198+M198)</f>
        <v/>
      </c>
      <c r="O198" s="25" t="str">
        <f aca="false">IF(OR(H198="",I198="",J198=""),"",IF(F198="Long",(I198-H198)*J198*IF(G198="",1,G198),(H198-I198)*J198*IF(G198="",1,G198)))</f>
        <v/>
      </c>
      <c r="P198" s="26" t="str">
        <f aca="false">IF(O198="","",O198-IF(N198="",0,N198))</f>
        <v/>
      </c>
      <c r="Q198" s="27" t="str">
        <f aca="false">IFERROR(IF(P198="","",P198/K198),"")</f>
        <v/>
      </c>
      <c r="R198" s="19"/>
      <c r="S198" s="18"/>
      <c r="T198" s="28"/>
    </row>
    <row r="199" customFormat="false" ht="18" hidden="false" customHeight="true" outlineLevel="0" collapsed="false">
      <c r="A199" s="3" t="str">
        <f aca="false">IF(B199&lt;&gt;"",ROW()-2,"")</f>
        <v/>
      </c>
      <c r="B199" s="4"/>
      <c r="C199" s="4"/>
      <c r="D199" s="5"/>
      <c r="E199" s="6"/>
      <c r="F199" s="5"/>
      <c r="G199" s="7"/>
      <c r="H199" s="8"/>
      <c r="I199" s="8"/>
      <c r="J199" s="9"/>
      <c r="K199" s="10" t="str">
        <f aca="false">IF(H199*J199=0,"",H199*J199)</f>
        <v/>
      </c>
      <c r="L199" s="11"/>
      <c r="M199" s="11"/>
      <c r="N199" s="10" t="str">
        <f aca="false">IF(L199+M199=0,"",L199+M199)</f>
        <v/>
      </c>
      <c r="O199" s="12" t="str">
        <f aca="false">IF(OR(H199="",I199="",J199=""),"",IF(F199="Long",(I199-H199)*J199*IF(G199="",1,G199),(H199-I199)*J199*IF(G199="",1,G199)))</f>
        <v/>
      </c>
      <c r="P199" s="13" t="str">
        <f aca="false">IF(O199="","",O199-IF(N199="",0,N199))</f>
        <v/>
      </c>
      <c r="Q199" s="14" t="str">
        <f aca="false">IFERROR(IF(P199="","",P199/K199),"")</f>
        <v/>
      </c>
      <c r="R199" s="6"/>
      <c r="S199" s="5"/>
      <c r="T199" s="15"/>
    </row>
    <row r="200" customFormat="false" ht="18" hidden="false" customHeight="true" outlineLevel="0" collapsed="false">
      <c r="A200" s="16" t="str">
        <f aca="false">IF(B200&lt;&gt;"",ROW()-2,"")</f>
        <v/>
      </c>
      <c r="B200" s="17"/>
      <c r="C200" s="17"/>
      <c r="D200" s="18"/>
      <c r="E200" s="19"/>
      <c r="F200" s="18"/>
      <c r="G200" s="20"/>
      <c r="H200" s="21"/>
      <c r="I200" s="21"/>
      <c r="J200" s="22"/>
      <c r="K200" s="23" t="str">
        <f aca="false">IF(H200*J200=0,"",H200*J200)</f>
        <v/>
      </c>
      <c r="L200" s="24"/>
      <c r="M200" s="24"/>
      <c r="N200" s="23" t="str">
        <f aca="false">IF(L200+M200=0,"",L200+M200)</f>
        <v/>
      </c>
      <c r="O200" s="25" t="str">
        <f aca="false">IF(OR(H200="",I200="",J200=""),"",IF(F200="Long",(I200-H200)*J200*IF(G200="",1,G200),(H200-I200)*J200*IF(G200="",1,G200)))</f>
        <v/>
      </c>
      <c r="P200" s="26" t="str">
        <f aca="false">IF(O200="","",O200-IF(N200="",0,N200))</f>
        <v/>
      </c>
      <c r="Q200" s="27" t="str">
        <f aca="false">IFERROR(IF(P200="","",P200/K200),"")</f>
        <v/>
      </c>
      <c r="R200" s="19"/>
      <c r="S200" s="18"/>
      <c r="T200" s="28"/>
    </row>
    <row r="201" customFormat="false" ht="18" hidden="false" customHeight="true" outlineLevel="0" collapsed="false">
      <c r="A201" s="3" t="str">
        <f aca="false">IF(B201&lt;&gt;"",ROW()-2,"")</f>
        <v/>
      </c>
      <c r="B201" s="4"/>
      <c r="C201" s="4"/>
      <c r="D201" s="5"/>
      <c r="E201" s="6"/>
      <c r="F201" s="5"/>
      <c r="G201" s="7"/>
      <c r="H201" s="8"/>
      <c r="I201" s="8"/>
      <c r="J201" s="9"/>
      <c r="K201" s="10" t="str">
        <f aca="false">IF(H201*J201=0,"",H201*J201)</f>
        <v/>
      </c>
      <c r="L201" s="11"/>
      <c r="M201" s="11"/>
      <c r="N201" s="10" t="str">
        <f aca="false">IF(L201+M201=0,"",L201+M201)</f>
        <v/>
      </c>
      <c r="O201" s="12" t="str">
        <f aca="false">IF(OR(H201="",I201="",J201=""),"",IF(F201="Long",(I201-H201)*J201*IF(G201="",1,G201),(H201-I201)*J201*IF(G201="",1,G201)))</f>
        <v/>
      </c>
      <c r="P201" s="13" t="str">
        <f aca="false">IF(O201="","",O201-IF(N201="",0,N201))</f>
        <v/>
      </c>
      <c r="Q201" s="14" t="str">
        <f aca="false">IFERROR(IF(P201="","",P201/K201),"")</f>
        <v/>
      </c>
      <c r="R201" s="6"/>
      <c r="S201" s="5"/>
      <c r="T201" s="15"/>
    </row>
    <row r="202" customFormat="false" ht="18" hidden="false" customHeight="true" outlineLevel="0" collapsed="false">
      <c r="A202" s="16" t="str">
        <f aca="false">IF(B202&lt;&gt;"",ROW()-2,"")</f>
        <v/>
      </c>
      <c r="B202" s="17"/>
      <c r="C202" s="17"/>
      <c r="D202" s="18"/>
      <c r="E202" s="19"/>
      <c r="F202" s="18"/>
      <c r="G202" s="20"/>
      <c r="H202" s="21"/>
      <c r="I202" s="21"/>
      <c r="J202" s="22"/>
      <c r="K202" s="23" t="str">
        <f aca="false">IF(H202*J202=0,"",H202*J202)</f>
        <v/>
      </c>
      <c r="L202" s="24"/>
      <c r="M202" s="24"/>
      <c r="N202" s="23" t="str">
        <f aca="false">IF(L202+M202=0,"",L202+M202)</f>
        <v/>
      </c>
      <c r="O202" s="25" t="str">
        <f aca="false">IF(OR(H202="",I202="",J202=""),"",IF(F202="Long",(I202-H202)*J202*IF(G202="",1,G202),(H202-I202)*J202*IF(G202="",1,G202)))</f>
        <v/>
      </c>
      <c r="P202" s="26" t="str">
        <f aca="false">IF(O202="","",O202-IF(N202="",0,N202))</f>
        <v/>
      </c>
      <c r="Q202" s="27" t="str">
        <f aca="false">IFERROR(IF(P202="","",P202/K202),"")</f>
        <v/>
      </c>
      <c r="R202" s="19"/>
      <c r="S202" s="18"/>
      <c r="T202" s="28"/>
    </row>
    <row r="203" customFormat="false" ht="18" hidden="false" customHeight="true" outlineLevel="0" collapsed="false">
      <c r="A203" s="3" t="str">
        <f aca="false">IF(B203&lt;&gt;"",ROW()-2,"")</f>
        <v/>
      </c>
      <c r="B203" s="4"/>
      <c r="C203" s="4"/>
      <c r="D203" s="5"/>
      <c r="E203" s="6"/>
      <c r="F203" s="5"/>
      <c r="G203" s="7"/>
      <c r="H203" s="8"/>
      <c r="I203" s="8"/>
      <c r="J203" s="9"/>
      <c r="K203" s="10" t="str">
        <f aca="false">IF(H203*J203=0,"",H203*J203)</f>
        <v/>
      </c>
      <c r="L203" s="11"/>
      <c r="M203" s="11"/>
      <c r="N203" s="10" t="str">
        <f aca="false">IF(L203+M203=0,"",L203+M203)</f>
        <v/>
      </c>
      <c r="O203" s="12" t="str">
        <f aca="false">IF(OR(H203="",I203="",J203=""),"",IF(F203="Long",(I203-H203)*J203*IF(G203="",1,G203),(H203-I203)*J203*IF(G203="",1,G203)))</f>
        <v/>
      </c>
      <c r="P203" s="13" t="str">
        <f aca="false">IF(O203="","",O203-IF(N203="",0,N203))</f>
        <v/>
      </c>
      <c r="Q203" s="14" t="str">
        <f aca="false">IFERROR(IF(P203="","",P203/K203),"")</f>
        <v/>
      </c>
      <c r="R203" s="6"/>
      <c r="S203" s="5"/>
      <c r="T203" s="15"/>
    </row>
    <row r="204" customFormat="false" ht="18" hidden="false" customHeight="true" outlineLevel="0" collapsed="false">
      <c r="A204" s="16" t="str">
        <f aca="false">IF(B204&lt;&gt;"",ROW()-2,"")</f>
        <v/>
      </c>
      <c r="B204" s="17"/>
      <c r="C204" s="17"/>
      <c r="D204" s="18"/>
      <c r="E204" s="19"/>
      <c r="F204" s="18"/>
      <c r="G204" s="20"/>
      <c r="H204" s="21"/>
      <c r="I204" s="21"/>
      <c r="J204" s="22"/>
      <c r="K204" s="23" t="str">
        <f aca="false">IF(H204*J204=0,"",H204*J204)</f>
        <v/>
      </c>
      <c r="L204" s="24"/>
      <c r="M204" s="24"/>
      <c r="N204" s="23" t="str">
        <f aca="false">IF(L204+M204=0,"",L204+M204)</f>
        <v/>
      </c>
      <c r="O204" s="25" t="str">
        <f aca="false">IF(OR(H204="",I204="",J204=""),"",IF(F204="Long",(I204-H204)*J204*IF(G204="",1,G204),(H204-I204)*J204*IF(G204="",1,G204)))</f>
        <v/>
      </c>
      <c r="P204" s="26" t="str">
        <f aca="false">IF(O204="","",O204-IF(N204="",0,N204))</f>
        <v/>
      </c>
      <c r="Q204" s="27" t="str">
        <f aca="false">IFERROR(IF(P204="","",P204/K204),"")</f>
        <v/>
      </c>
      <c r="R204" s="19"/>
      <c r="S204" s="18"/>
      <c r="T204" s="28"/>
    </row>
    <row r="205" customFormat="false" ht="18" hidden="false" customHeight="true" outlineLevel="0" collapsed="false">
      <c r="A205" s="3" t="str">
        <f aca="false">IF(B205&lt;&gt;"",ROW()-2,"")</f>
        <v/>
      </c>
      <c r="B205" s="4"/>
      <c r="C205" s="4"/>
      <c r="D205" s="5"/>
      <c r="E205" s="6"/>
      <c r="F205" s="5"/>
      <c r="G205" s="7"/>
      <c r="H205" s="8"/>
      <c r="I205" s="8"/>
      <c r="J205" s="9"/>
      <c r="K205" s="10" t="str">
        <f aca="false">IF(H205*J205=0,"",H205*J205)</f>
        <v/>
      </c>
      <c r="L205" s="11"/>
      <c r="M205" s="11"/>
      <c r="N205" s="10" t="str">
        <f aca="false">IF(L205+M205=0,"",L205+M205)</f>
        <v/>
      </c>
      <c r="O205" s="12" t="str">
        <f aca="false">IF(OR(H205="",I205="",J205=""),"",IF(F205="Long",(I205-H205)*J205*IF(G205="",1,G205),(H205-I205)*J205*IF(G205="",1,G205)))</f>
        <v/>
      </c>
      <c r="P205" s="13" t="str">
        <f aca="false">IF(O205="","",O205-IF(N205="",0,N205))</f>
        <v/>
      </c>
      <c r="Q205" s="14" t="str">
        <f aca="false">IFERROR(IF(P205="","",P205/K205),"")</f>
        <v/>
      </c>
      <c r="R205" s="6"/>
      <c r="S205" s="5"/>
      <c r="T205" s="15"/>
    </row>
    <row r="206" customFormat="false" ht="18" hidden="false" customHeight="true" outlineLevel="0" collapsed="false">
      <c r="A206" s="16" t="str">
        <f aca="false">IF(B206&lt;&gt;"",ROW()-2,"")</f>
        <v/>
      </c>
      <c r="B206" s="17"/>
      <c r="C206" s="17"/>
      <c r="D206" s="18"/>
      <c r="E206" s="19"/>
      <c r="F206" s="18"/>
      <c r="G206" s="20"/>
      <c r="H206" s="21"/>
      <c r="I206" s="21"/>
      <c r="J206" s="22"/>
      <c r="K206" s="23" t="str">
        <f aca="false">IF(H206*J206=0,"",H206*J206)</f>
        <v/>
      </c>
      <c r="L206" s="24"/>
      <c r="M206" s="24"/>
      <c r="N206" s="23" t="str">
        <f aca="false">IF(L206+M206=0,"",L206+M206)</f>
        <v/>
      </c>
      <c r="O206" s="25" t="str">
        <f aca="false">IF(OR(H206="",I206="",J206=""),"",IF(F206="Long",(I206-H206)*J206*IF(G206="",1,G206),(H206-I206)*J206*IF(G206="",1,G206)))</f>
        <v/>
      </c>
      <c r="P206" s="26" t="str">
        <f aca="false">IF(O206="","",O206-IF(N206="",0,N206))</f>
        <v/>
      </c>
      <c r="Q206" s="27" t="str">
        <f aca="false">IFERROR(IF(P206="","",P206/K206),"")</f>
        <v/>
      </c>
      <c r="R206" s="19"/>
      <c r="S206" s="18"/>
      <c r="T206" s="28"/>
    </row>
    <row r="207" customFormat="false" ht="18" hidden="false" customHeight="true" outlineLevel="0" collapsed="false">
      <c r="A207" s="3" t="str">
        <f aca="false">IF(B207&lt;&gt;"",ROW()-2,"")</f>
        <v/>
      </c>
      <c r="B207" s="4"/>
      <c r="C207" s="4"/>
      <c r="D207" s="5"/>
      <c r="E207" s="6"/>
      <c r="F207" s="5"/>
      <c r="G207" s="7"/>
      <c r="H207" s="8"/>
      <c r="I207" s="8"/>
      <c r="J207" s="9"/>
      <c r="K207" s="10" t="str">
        <f aca="false">IF(H207*J207=0,"",H207*J207)</f>
        <v/>
      </c>
      <c r="L207" s="11"/>
      <c r="M207" s="11"/>
      <c r="N207" s="10" t="str">
        <f aca="false">IF(L207+M207=0,"",L207+M207)</f>
        <v/>
      </c>
      <c r="O207" s="12" t="str">
        <f aca="false">IF(OR(H207="",I207="",J207=""),"",IF(F207="Long",(I207-H207)*J207*IF(G207="",1,G207),(H207-I207)*J207*IF(G207="",1,G207)))</f>
        <v/>
      </c>
      <c r="P207" s="13" t="str">
        <f aca="false">IF(O207="","",O207-IF(N207="",0,N207))</f>
        <v/>
      </c>
      <c r="Q207" s="14" t="str">
        <f aca="false">IFERROR(IF(P207="","",P207/K207),"")</f>
        <v/>
      </c>
      <c r="R207" s="6"/>
      <c r="S207" s="5"/>
      <c r="T207" s="15"/>
    </row>
    <row r="208" customFormat="false" ht="18" hidden="false" customHeight="true" outlineLevel="0" collapsed="false">
      <c r="A208" s="16" t="str">
        <f aca="false">IF(B208&lt;&gt;"",ROW()-2,"")</f>
        <v/>
      </c>
      <c r="B208" s="17"/>
      <c r="C208" s="17"/>
      <c r="D208" s="18"/>
      <c r="E208" s="19"/>
      <c r="F208" s="18"/>
      <c r="G208" s="20"/>
      <c r="H208" s="21"/>
      <c r="I208" s="21"/>
      <c r="J208" s="22"/>
      <c r="K208" s="23" t="str">
        <f aca="false">IF(H208*J208=0,"",H208*J208)</f>
        <v/>
      </c>
      <c r="L208" s="24"/>
      <c r="M208" s="24"/>
      <c r="N208" s="23" t="str">
        <f aca="false">IF(L208+M208=0,"",L208+M208)</f>
        <v/>
      </c>
      <c r="O208" s="25" t="str">
        <f aca="false">IF(OR(H208="",I208="",J208=""),"",IF(F208="Long",(I208-H208)*J208*IF(G208="",1,G208),(H208-I208)*J208*IF(G208="",1,G208)))</f>
        <v/>
      </c>
      <c r="P208" s="26" t="str">
        <f aca="false">IF(O208="","",O208-IF(N208="",0,N208))</f>
        <v/>
      </c>
      <c r="Q208" s="27" t="str">
        <f aca="false">IFERROR(IF(P208="","",P208/K208),"")</f>
        <v/>
      </c>
      <c r="R208" s="19"/>
      <c r="S208" s="18"/>
      <c r="T208" s="28"/>
    </row>
    <row r="209" customFormat="false" ht="18" hidden="false" customHeight="true" outlineLevel="0" collapsed="false">
      <c r="A209" s="3" t="str">
        <f aca="false">IF(B209&lt;&gt;"",ROW()-2,"")</f>
        <v/>
      </c>
      <c r="B209" s="4"/>
      <c r="C209" s="4"/>
      <c r="D209" s="5"/>
      <c r="E209" s="6"/>
      <c r="F209" s="5"/>
      <c r="G209" s="7"/>
      <c r="H209" s="8"/>
      <c r="I209" s="8"/>
      <c r="J209" s="9"/>
      <c r="K209" s="10" t="str">
        <f aca="false">IF(H209*J209=0,"",H209*J209)</f>
        <v/>
      </c>
      <c r="L209" s="11"/>
      <c r="M209" s="11"/>
      <c r="N209" s="10" t="str">
        <f aca="false">IF(L209+M209=0,"",L209+M209)</f>
        <v/>
      </c>
      <c r="O209" s="12" t="str">
        <f aca="false">IF(OR(H209="",I209="",J209=""),"",IF(F209="Long",(I209-H209)*J209*IF(G209="",1,G209),(H209-I209)*J209*IF(G209="",1,G209)))</f>
        <v/>
      </c>
      <c r="P209" s="13" t="str">
        <f aca="false">IF(O209="","",O209-IF(N209="",0,N209))</f>
        <v/>
      </c>
      <c r="Q209" s="14" t="str">
        <f aca="false">IFERROR(IF(P209="","",P209/K209),"")</f>
        <v/>
      </c>
      <c r="R209" s="6"/>
      <c r="S209" s="5"/>
      <c r="T209" s="15"/>
    </row>
    <row r="210" customFormat="false" ht="18" hidden="false" customHeight="true" outlineLevel="0" collapsed="false">
      <c r="A210" s="16" t="str">
        <f aca="false">IF(B210&lt;&gt;"",ROW()-2,"")</f>
        <v/>
      </c>
      <c r="B210" s="17"/>
      <c r="C210" s="17"/>
      <c r="D210" s="18"/>
      <c r="E210" s="19"/>
      <c r="F210" s="18"/>
      <c r="G210" s="20"/>
      <c r="H210" s="21"/>
      <c r="I210" s="21"/>
      <c r="J210" s="22"/>
      <c r="K210" s="23" t="str">
        <f aca="false">IF(H210*J210=0,"",H210*J210)</f>
        <v/>
      </c>
      <c r="L210" s="24"/>
      <c r="M210" s="24"/>
      <c r="N210" s="23" t="str">
        <f aca="false">IF(L210+M210=0,"",L210+M210)</f>
        <v/>
      </c>
      <c r="O210" s="25" t="str">
        <f aca="false">IF(OR(H210="",I210="",J210=""),"",IF(F210="Long",(I210-H210)*J210*IF(G210="",1,G210),(H210-I210)*J210*IF(G210="",1,G210)))</f>
        <v/>
      </c>
      <c r="P210" s="26" t="str">
        <f aca="false">IF(O210="","",O210-IF(N210="",0,N210))</f>
        <v/>
      </c>
      <c r="Q210" s="27" t="str">
        <f aca="false">IFERROR(IF(P210="","",P210/K210),"")</f>
        <v/>
      </c>
      <c r="R210" s="19"/>
      <c r="S210" s="18"/>
      <c r="T210" s="28"/>
    </row>
    <row r="211" customFormat="false" ht="18" hidden="false" customHeight="true" outlineLevel="0" collapsed="false">
      <c r="A211" s="3" t="str">
        <f aca="false">IF(B211&lt;&gt;"",ROW()-2,"")</f>
        <v/>
      </c>
      <c r="B211" s="4"/>
      <c r="C211" s="4"/>
      <c r="D211" s="5"/>
      <c r="E211" s="6"/>
      <c r="F211" s="5"/>
      <c r="G211" s="7"/>
      <c r="H211" s="8"/>
      <c r="I211" s="8"/>
      <c r="J211" s="9"/>
      <c r="K211" s="10" t="str">
        <f aca="false">IF(H211*J211=0,"",H211*J211)</f>
        <v/>
      </c>
      <c r="L211" s="11"/>
      <c r="M211" s="11"/>
      <c r="N211" s="10" t="str">
        <f aca="false">IF(L211+M211=0,"",L211+M211)</f>
        <v/>
      </c>
      <c r="O211" s="12" t="str">
        <f aca="false">IF(OR(H211="",I211="",J211=""),"",IF(F211="Long",(I211-H211)*J211*IF(G211="",1,G211),(H211-I211)*J211*IF(G211="",1,G211)))</f>
        <v/>
      </c>
      <c r="P211" s="13" t="str">
        <f aca="false">IF(O211="","",O211-IF(N211="",0,N211))</f>
        <v/>
      </c>
      <c r="Q211" s="14" t="str">
        <f aca="false">IFERROR(IF(P211="","",P211/K211),"")</f>
        <v/>
      </c>
      <c r="R211" s="6"/>
      <c r="S211" s="5"/>
      <c r="T211" s="15"/>
    </row>
    <row r="212" customFormat="false" ht="18" hidden="false" customHeight="true" outlineLevel="0" collapsed="false">
      <c r="A212" s="16" t="str">
        <f aca="false">IF(B212&lt;&gt;"",ROW()-2,"")</f>
        <v/>
      </c>
      <c r="B212" s="17"/>
      <c r="C212" s="17"/>
      <c r="D212" s="18"/>
      <c r="E212" s="19"/>
      <c r="F212" s="18"/>
      <c r="G212" s="20"/>
      <c r="H212" s="21"/>
      <c r="I212" s="21"/>
      <c r="J212" s="22"/>
      <c r="K212" s="23" t="str">
        <f aca="false">IF(H212*J212=0,"",H212*J212)</f>
        <v/>
      </c>
      <c r="L212" s="24"/>
      <c r="M212" s="24"/>
      <c r="N212" s="23" t="str">
        <f aca="false">IF(L212+M212=0,"",L212+M212)</f>
        <v/>
      </c>
      <c r="O212" s="25" t="str">
        <f aca="false">IF(OR(H212="",I212="",J212=""),"",IF(F212="Long",(I212-H212)*J212*IF(G212="",1,G212),(H212-I212)*J212*IF(G212="",1,G212)))</f>
        <v/>
      </c>
      <c r="P212" s="26" t="str">
        <f aca="false">IF(O212="","",O212-IF(N212="",0,N212))</f>
        <v/>
      </c>
      <c r="Q212" s="27" t="str">
        <f aca="false">IFERROR(IF(P212="","",P212/K212),"")</f>
        <v/>
      </c>
      <c r="R212" s="19"/>
      <c r="S212" s="18"/>
      <c r="T212" s="28"/>
    </row>
    <row r="213" customFormat="false" ht="18" hidden="false" customHeight="true" outlineLevel="0" collapsed="false">
      <c r="A213" s="3" t="str">
        <f aca="false">IF(B213&lt;&gt;"",ROW()-2,"")</f>
        <v/>
      </c>
      <c r="B213" s="4"/>
      <c r="C213" s="4"/>
      <c r="D213" s="5"/>
      <c r="E213" s="6"/>
      <c r="F213" s="5"/>
      <c r="G213" s="7"/>
      <c r="H213" s="8"/>
      <c r="I213" s="8"/>
      <c r="J213" s="9"/>
      <c r="K213" s="10" t="str">
        <f aca="false">IF(H213*J213=0,"",H213*J213)</f>
        <v/>
      </c>
      <c r="L213" s="11"/>
      <c r="M213" s="11"/>
      <c r="N213" s="10" t="str">
        <f aca="false">IF(L213+M213=0,"",L213+M213)</f>
        <v/>
      </c>
      <c r="O213" s="12" t="str">
        <f aca="false">IF(OR(H213="",I213="",J213=""),"",IF(F213="Long",(I213-H213)*J213*IF(G213="",1,G213),(H213-I213)*J213*IF(G213="",1,G213)))</f>
        <v/>
      </c>
      <c r="P213" s="13" t="str">
        <f aca="false">IF(O213="","",O213-IF(N213="",0,N213))</f>
        <v/>
      </c>
      <c r="Q213" s="14" t="str">
        <f aca="false">IFERROR(IF(P213="","",P213/K213),"")</f>
        <v/>
      </c>
      <c r="R213" s="6"/>
      <c r="S213" s="5"/>
      <c r="T213" s="15"/>
    </row>
    <row r="214" customFormat="false" ht="18" hidden="false" customHeight="true" outlineLevel="0" collapsed="false">
      <c r="A214" s="16" t="str">
        <f aca="false">IF(B214&lt;&gt;"",ROW()-2,"")</f>
        <v/>
      </c>
      <c r="B214" s="17"/>
      <c r="C214" s="17"/>
      <c r="D214" s="18"/>
      <c r="E214" s="19"/>
      <c r="F214" s="18"/>
      <c r="G214" s="20"/>
      <c r="H214" s="21"/>
      <c r="I214" s="21"/>
      <c r="J214" s="22"/>
      <c r="K214" s="23" t="str">
        <f aca="false">IF(H214*J214=0,"",H214*J214)</f>
        <v/>
      </c>
      <c r="L214" s="24"/>
      <c r="M214" s="24"/>
      <c r="N214" s="23" t="str">
        <f aca="false">IF(L214+M214=0,"",L214+M214)</f>
        <v/>
      </c>
      <c r="O214" s="25" t="str">
        <f aca="false">IF(OR(H214="",I214="",J214=""),"",IF(F214="Long",(I214-H214)*J214*IF(G214="",1,G214),(H214-I214)*J214*IF(G214="",1,G214)))</f>
        <v/>
      </c>
      <c r="P214" s="26" t="str">
        <f aca="false">IF(O214="","",O214-IF(N214="",0,N214))</f>
        <v/>
      </c>
      <c r="Q214" s="27" t="str">
        <f aca="false">IFERROR(IF(P214="","",P214/K214),"")</f>
        <v/>
      </c>
      <c r="R214" s="19"/>
      <c r="S214" s="18"/>
      <c r="T214" s="28"/>
    </row>
    <row r="215" customFormat="false" ht="18" hidden="false" customHeight="true" outlineLevel="0" collapsed="false">
      <c r="A215" s="3" t="str">
        <f aca="false">IF(B215&lt;&gt;"",ROW()-2,"")</f>
        <v/>
      </c>
      <c r="B215" s="4"/>
      <c r="C215" s="4"/>
      <c r="D215" s="5"/>
      <c r="E215" s="6"/>
      <c r="F215" s="5"/>
      <c r="G215" s="7"/>
      <c r="H215" s="8"/>
      <c r="I215" s="8"/>
      <c r="J215" s="9"/>
      <c r="K215" s="10" t="str">
        <f aca="false">IF(H215*J215=0,"",H215*J215)</f>
        <v/>
      </c>
      <c r="L215" s="11"/>
      <c r="M215" s="11"/>
      <c r="N215" s="10" t="str">
        <f aca="false">IF(L215+M215=0,"",L215+M215)</f>
        <v/>
      </c>
      <c r="O215" s="12" t="str">
        <f aca="false">IF(OR(H215="",I215="",J215=""),"",IF(F215="Long",(I215-H215)*J215*IF(G215="",1,G215),(H215-I215)*J215*IF(G215="",1,G215)))</f>
        <v/>
      </c>
      <c r="P215" s="13" t="str">
        <f aca="false">IF(O215="","",O215-IF(N215="",0,N215))</f>
        <v/>
      </c>
      <c r="Q215" s="14" t="str">
        <f aca="false">IFERROR(IF(P215="","",P215/K215),"")</f>
        <v/>
      </c>
      <c r="R215" s="6"/>
      <c r="S215" s="5"/>
      <c r="T215" s="15"/>
    </row>
    <row r="216" customFormat="false" ht="18" hidden="false" customHeight="true" outlineLevel="0" collapsed="false">
      <c r="A216" s="16" t="str">
        <f aca="false">IF(B216&lt;&gt;"",ROW()-2,"")</f>
        <v/>
      </c>
      <c r="B216" s="17"/>
      <c r="C216" s="17"/>
      <c r="D216" s="18"/>
      <c r="E216" s="19"/>
      <c r="F216" s="18"/>
      <c r="G216" s="20"/>
      <c r="H216" s="21"/>
      <c r="I216" s="21"/>
      <c r="J216" s="22"/>
      <c r="K216" s="23" t="str">
        <f aca="false">IF(H216*J216=0,"",H216*J216)</f>
        <v/>
      </c>
      <c r="L216" s="24"/>
      <c r="M216" s="24"/>
      <c r="N216" s="23" t="str">
        <f aca="false">IF(L216+M216=0,"",L216+M216)</f>
        <v/>
      </c>
      <c r="O216" s="25" t="str">
        <f aca="false">IF(OR(H216="",I216="",J216=""),"",IF(F216="Long",(I216-H216)*J216*IF(G216="",1,G216),(H216-I216)*J216*IF(G216="",1,G216)))</f>
        <v/>
      </c>
      <c r="P216" s="26" t="str">
        <f aca="false">IF(O216="","",O216-IF(N216="",0,N216))</f>
        <v/>
      </c>
      <c r="Q216" s="27" t="str">
        <f aca="false">IFERROR(IF(P216="","",P216/K216),"")</f>
        <v/>
      </c>
      <c r="R216" s="19"/>
      <c r="S216" s="18"/>
      <c r="T216" s="28"/>
    </row>
    <row r="217" customFormat="false" ht="18" hidden="false" customHeight="true" outlineLevel="0" collapsed="false">
      <c r="A217" s="3" t="str">
        <f aca="false">IF(B217&lt;&gt;"",ROW()-2,"")</f>
        <v/>
      </c>
      <c r="B217" s="4"/>
      <c r="C217" s="4"/>
      <c r="D217" s="5"/>
      <c r="E217" s="6"/>
      <c r="F217" s="5"/>
      <c r="G217" s="7"/>
      <c r="H217" s="8"/>
      <c r="I217" s="8"/>
      <c r="J217" s="9"/>
      <c r="K217" s="10" t="str">
        <f aca="false">IF(H217*J217=0,"",H217*J217)</f>
        <v/>
      </c>
      <c r="L217" s="11"/>
      <c r="M217" s="11"/>
      <c r="N217" s="10" t="str">
        <f aca="false">IF(L217+M217=0,"",L217+M217)</f>
        <v/>
      </c>
      <c r="O217" s="12" t="str">
        <f aca="false">IF(OR(H217="",I217="",J217=""),"",IF(F217="Long",(I217-H217)*J217*IF(G217="",1,G217),(H217-I217)*J217*IF(G217="",1,G217)))</f>
        <v/>
      </c>
      <c r="P217" s="13" t="str">
        <f aca="false">IF(O217="","",O217-IF(N217="",0,N217))</f>
        <v/>
      </c>
      <c r="Q217" s="14" t="str">
        <f aca="false">IFERROR(IF(P217="","",P217/K217),"")</f>
        <v/>
      </c>
      <c r="R217" s="6"/>
      <c r="S217" s="5"/>
      <c r="T217" s="15"/>
    </row>
    <row r="218" customFormat="false" ht="18" hidden="false" customHeight="true" outlineLevel="0" collapsed="false">
      <c r="A218" s="16" t="str">
        <f aca="false">IF(B218&lt;&gt;"",ROW()-2,"")</f>
        <v/>
      </c>
      <c r="B218" s="17"/>
      <c r="C218" s="17"/>
      <c r="D218" s="18"/>
      <c r="E218" s="19"/>
      <c r="F218" s="18"/>
      <c r="G218" s="20"/>
      <c r="H218" s="21"/>
      <c r="I218" s="21"/>
      <c r="J218" s="22"/>
      <c r="K218" s="23" t="str">
        <f aca="false">IF(H218*J218=0,"",H218*J218)</f>
        <v/>
      </c>
      <c r="L218" s="24"/>
      <c r="M218" s="24"/>
      <c r="N218" s="23" t="str">
        <f aca="false">IF(L218+M218=0,"",L218+M218)</f>
        <v/>
      </c>
      <c r="O218" s="25" t="str">
        <f aca="false">IF(OR(H218="",I218="",J218=""),"",IF(F218="Long",(I218-H218)*J218*IF(G218="",1,G218),(H218-I218)*J218*IF(G218="",1,G218)))</f>
        <v/>
      </c>
      <c r="P218" s="26" t="str">
        <f aca="false">IF(O218="","",O218-IF(N218="",0,N218))</f>
        <v/>
      </c>
      <c r="Q218" s="27" t="str">
        <f aca="false">IFERROR(IF(P218="","",P218/K218),"")</f>
        <v/>
      </c>
      <c r="R218" s="19"/>
      <c r="S218" s="18"/>
      <c r="T218" s="28"/>
    </row>
    <row r="219" customFormat="false" ht="18" hidden="false" customHeight="true" outlineLevel="0" collapsed="false">
      <c r="A219" s="3" t="str">
        <f aca="false">IF(B219&lt;&gt;"",ROW()-2,"")</f>
        <v/>
      </c>
      <c r="B219" s="4"/>
      <c r="C219" s="4"/>
      <c r="D219" s="5"/>
      <c r="E219" s="6"/>
      <c r="F219" s="5"/>
      <c r="G219" s="7"/>
      <c r="H219" s="8"/>
      <c r="I219" s="8"/>
      <c r="J219" s="9"/>
      <c r="K219" s="10" t="str">
        <f aca="false">IF(H219*J219=0,"",H219*J219)</f>
        <v/>
      </c>
      <c r="L219" s="11"/>
      <c r="M219" s="11"/>
      <c r="N219" s="10" t="str">
        <f aca="false">IF(L219+M219=0,"",L219+M219)</f>
        <v/>
      </c>
      <c r="O219" s="12" t="str">
        <f aca="false">IF(OR(H219="",I219="",J219=""),"",IF(F219="Long",(I219-H219)*J219*IF(G219="",1,G219),(H219-I219)*J219*IF(G219="",1,G219)))</f>
        <v/>
      </c>
      <c r="P219" s="13" t="str">
        <f aca="false">IF(O219="","",O219-IF(N219="",0,N219))</f>
        <v/>
      </c>
      <c r="Q219" s="14" t="str">
        <f aca="false">IFERROR(IF(P219="","",P219/K219),"")</f>
        <v/>
      </c>
      <c r="R219" s="6"/>
      <c r="S219" s="5"/>
      <c r="T219" s="15"/>
    </row>
    <row r="220" customFormat="false" ht="18" hidden="false" customHeight="true" outlineLevel="0" collapsed="false">
      <c r="A220" s="16" t="str">
        <f aca="false">IF(B220&lt;&gt;"",ROW()-2,"")</f>
        <v/>
      </c>
      <c r="B220" s="17"/>
      <c r="C220" s="17"/>
      <c r="D220" s="18"/>
      <c r="E220" s="19"/>
      <c r="F220" s="18"/>
      <c r="G220" s="20"/>
      <c r="H220" s="21"/>
      <c r="I220" s="21"/>
      <c r="J220" s="22"/>
      <c r="K220" s="23" t="str">
        <f aca="false">IF(H220*J220=0,"",H220*J220)</f>
        <v/>
      </c>
      <c r="L220" s="24"/>
      <c r="M220" s="24"/>
      <c r="N220" s="23" t="str">
        <f aca="false">IF(L220+M220=0,"",L220+M220)</f>
        <v/>
      </c>
      <c r="O220" s="25" t="str">
        <f aca="false">IF(OR(H220="",I220="",J220=""),"",IF(F220="Long",(I220-H220)*J220*IF(G220="",1,G220),(H220-I220)*J220*IF(G220="",1,G220)))</f>
        <v/>
      </c>
      <c r="P220" s="26" t="str">
        <f aca="false">IF(O220="","",O220-IF(N220="",0,N220))</f>
        <v/>
      </c>
      <c r="Q220" s="27" t="str">
        <f aca="false">IFERROR(IF(P220="","",P220/K220),"")</f>
        <v/>
      </c>
      <c r="R220" s="19"/>
      <c r="S220" s="18"/>
      <c r="T220" s="28"/>
    </row>
    <row r="221" customFormat="false" ht="18" hidden="false" customHeight="true" outlineLevel="0" collapsed="false">
      <c r="A221" s="3" t="str">
        <f aca="false">IF(B221&lt;&gt;"",ROW()-2,"")</f>
        <v/>
      </c>
      <c r="B221" s="4"/>
      <c r="C221" s="4"/>
      <c r="D221" s="5"/>
      <c r="E221" s="6"/>
      <c r="F221" s="5"/>
      <c r="G221" s="7"/>
      <c r="H221" s="8"/>
      <c r="I221" s="8"/>
      <c r="J221" s="9"/>
      <c r="K221" s="10" t="str">
        <f aca="false">IF(H221*J221=0,"",H221*J221)</f>
        <v/>
      </c>
      <c r="L221" s="11"/>
      <c r="M221" s="11"/>
      <c r="N221" s="10" t="str">
        <f aca="false">IF(L221+M221=0,"",L221+M221)</f>
        <v/>
      </c>
      <c r="O221" s="12" t="str">
        <f aca="false">IF(OR(H221="",I221="",J221=""),"",IF(F221="Long",(I221-H221)*J221*IF(G221="",1,G221),(H221-I221)*J221*IF(G221="",1,G221)))</f>
        <v/>
      </c>
      <c r="P221" s="13" t="str">
        <f aca="false">IF(O221="","",O221-IF(N221="",0,N221))</f>
        <v/>
      </c>
      <c r="Q221" s="14" t="str">
        <f aca="false">IFERROR(IF(P221="","",P221/K221),"")</f>
        <v/>
      </c>
      <c r="R221" s="6"/>
      <c r="S221" s="5"/>
      <c r="T221" s="15"/>
    </row>
    <row r="222" customFormat="false" ht="18" hidden="false" customHeight="true" outlineLevel="0" collapsed="false">
      <c r="A222" s="16" t="str">
        <f aca="false">IF(B222&lt;&gt;"",ROW()-2,"")</f>
        <v/>
      </c>
      <c r="B222" s="17"/>
      <c r="C222" s="17"/>
      <c r="D222" s="18"/>
      <c r="E222" s="19"/>
      <c r="F222" s="18"/>
      <c r="G222" s="20"/>
      <c r="H222" s="21"/>
      <c r="I222" s="21"/>
      <c r="J222" s="22"/>
      <c r="K222" s="23" t="str">
        <f aca="false">IF(H222*J222=0,"",H222*J222)</f>
        <v/>
      </c>
      <c r="L222" s="24"/>
      <c r="M222" s="24"/>
      <c r="N222" s="23" t="str">
        <f aca="false">IF(L222+M222=0,"",L222+M222)</f>
        <v/>
      </c>
      <c r="O222" s="25" t="str">
        <f aca="false">IF(OR(H222="",I222="",J222=""),"",IF(F222="Long",(I222-H222)*J222*IF(G222="",1,G222),(H222-I222)*J222*IF(G222="",1,G222)))</f>
        <v/>
      </c>
      <c r="P222" s="26" t="str">
        <f aca="false">IF(O222="","",O222-IF(N222="",0,N222))</f>
        <v/>
      </c>
      <c r="Q222" s="27" t="str">
        <f aca="false">IFERROR(IF(P222="","",P222/K222),"")</f>
        <v/>
      </c>
      <c r="R222" s="19"/>
      <c r="S222" s="18"/>
      <c r="T222" s="28"/>
    </row>
    <row r="223" customFormat="false" ht="18" hidden="false" customHeight="true" outlineLevel="0" collapsed="false">
      <c r="A223" s="3" t="str">
        <f aca="false">IF(B223&lt;&gt;"",ROW()-2,"")</f>
        <v/>
      </c>
      <c r="B223" s="4"/>
      <c r="C223" s="4"/>
      <c r="D223" s="5"/>
      <c r="E223" s="6"/>
      <c r="F223" s="5"/>
      <c r="G223" s="7"/>
      <c r="H223" s="8"/>
      <c r="I223" s="8"/>
      <c r="J223" s="9"/>
      <c r="K223" s="10" t="str">
        <f aca="false">IF(H223*J223=0,"",H223*J223)</f>
        <v/>
      </c>
      <c r="L223" s="11"/>
      <c r="M223" s="11"/>
      <c r="N223" s="10" t="str">
        <f aca="false">IF(L223+M223=0,"",L223+M223)</f>
        <v/>
      </c>
      <c r="O223" s="12" t="str">
        <f aca="false">IF(OR(H223="",I223="",J223=""),"",IF(F223="Long",(I223-H223)*J223*IF(G223="",1,G223),(H223-I223)*J223*IF(G223="",1,G223)))</f>
        <v/>
      </c>
      <c r="P223" s="13" t="str">
        <f aca="false">IF(O223="","",O223-IF(N223="",0,N223))</f>
        <v/>
      </c>
      <c r="Q223" s="14" t="str">
        <f aca="false">IFERROR(IF(P223="","",P223/K223),"")</f>
        <v/>
      </c>
      <c r="R223" s="6"/>
      <c r="S223" s="5"/>
      <c r="T223" s="15"/>
    </row>
    <row r="224" customFormat="false" ht="18" hidden="false" customHeight="true" outlineLevel="0" collapsed="false">
      <c r="A224" s="16" t="str">
        <f aca="false">IF(B224&lt;&gt;"",ROW()-2,"")</f>
        <v/>
      </c>
      <c r="B224" s="17"/>
      <c r="C224" s="17"/>
      <c r="D224" s="18"/>
      <c r="E224" s="19"/>
      <c r="F224" s="18"/>
      <c r="G224" s="20"/>
      <c r="H224" s="21"/>
      <c r="I224" s="21"/>
      <c r="J224" s="22"/>
      <c r="K224" s="23" t="str">
        <f aca="false">IF(H224*J224=0,"",H224*J224)</f>
        <v/>
      </c>
      <c r="L224" s="24"/>
      <c r="M224" s="24"/>
      <c r="N224" s="23" t="str">
        <f aca="false">IF(L224+M224=0,"",L224+M224)</f>
        <v/>
      </c>
      <c r="O224" s="25" t="str">
        <f aca="false">IF(OR(H224="",I224="",J224=""),"",IF(F224="Long",(I224-H224)*J224*IF(G224="",1,G224),(H224-I224)*J224*IF(G224="",1,G224)))</f>
        <v/>
      </c>
      <c r="P224" s="26" t="str">
        <f aca="false">IF(O224="","",O224-IF(N224="",0,N224))</f>
        <v/>
      </c>
      <c r="Q224" s="27" t="str">
        <f aca="false">IFERROR(IF(P224="","",P224/K224),"")</f>
        <v/>
      </c>
      <c r="R224" s="19"/>
      <c r="S224" s="18"/>
      <c r="T224" s="28"/>
    </row>
    <row r="225" customFormat="false" ht="18" hidden="false" customHeight="true" outlineLevel="0" collapsed="false">
      <c r="A225" s="3" t="str">
        <f aca="false">IF(B225&lt;&gt;"",ROW()-2,"")</f>
        <v/>
      </c>
      <c r="B225" s="4"/>
      <c r="C225" s="4"/>
      <c r="D225" s="5"/>
      <c r="E225" s="6"/>
      <c r="F225" s="5"/>
      <c r="G225" s="7"/>
      <c r="H225" s="8"/>
      <c r="I225" s="8"/>
      <c r="J225" s="9"/>
      <c r="K225" s="10" t="str">
        <f aca="false">IF(H225*J225=0,"",H225*J225)</f>
        <v/>
      </c>
      <c r="L225" s="11"/>
      <c r="M225" s="11"/>
      <c r="N225" s="10" t="str">
        <f aca="false">IF(L225+M225=0,"",L225+M225)</f>
        <v/>
      </c>
      <c r="O225" s="12" t="str">
        <f aca="false">IF(OR(H225="",I225="",J225=""),"",IF(F225="Long",(I225-H225)*J225*IF(G225="",1,G225),(H225-I225)*J225*IF(G225="",1,G225)))</f>
        <v/>
      </c>
      <c r="P225" s="13" t="str">
        <f aca="false">IF(O225="","",O225-IF(N225="",0,N225))</f>
        <v/>
      </c>
      <c r="Q225" s="14" t="str">
        <f aca="false">IFERROR(IF(P225="","",P225/K225),"")</f>
        <v/>
      </c>
      <c r="R225" s="6"/>
      <c r="S225" s="5"/>
      <c r="T225" s="15"/>
    </row>
    <row r="226" customFormat="false" ht="18" hidden="false" customHeight="true" outlineLevel="0" collapsed="false">
      <c r="A226" s="16" t="str">
        <f aca="false">IF(B226&lt;&gt;"",ROW()-2,"")</f>
        <v/>
      </c>
      <c r="B226" s="17"/>
      <c r="C226" s="17"/>
      <c r="D226" s="18"/>
      <c r="E226" s="19"/>
      <c r="F226" s="18"/>
      <c r="G226" s="20"/>
      <c r="H226" s="21"/>
      <c r="I226" s="21"/>
      <c r="J226" s="22"/>
      <c r="K226" s="23" t="str">
        <f aca="false">IF(H226*J226=0,"",H226*J226)</f>
        <v/>
      </c>
      <c r="L226" s="24"/>
      <c r="M226" s="24"/>
      <c r="N226" s="23" t="str">
        <f aca="false">IF(L226+M226=0,"",L226+M226)</f>
        <v/>
      </c>
      <c r="O226" s="25" t="str">
        <f aca="false">IF(OR(H226="",I226="",J226=""),"",IF(F226="Long",(I226-H226)*J226*IF(G226="",1,G226),(H226-I226)*J226*IF(G226="",1,G226)))</f>
        <v/>
      </c>
      <c r="P226" s="26" t="str">
        <f aca="false">IF(O226="","",O226-IF(N226="",0,N226))</f>
        <v/>
      </c>
      <c r="Q226" s="27" t="str">
        <f aca="false">IFERROR(IF(P226="","",P226/K226),"")</f>
        <v/>
      </c>
      <c r="R226" s="19"/>
      <c r="S226" s="18"/>
      <c r="T226" s="28"/>
    </row>
    <row r="227" customFormat="false" ht="18" hidden="false" customHeight="true" outlineLevel="0" collapsed="false">
      <c r="A227" s="3" t="str">
        <f aca="false">IF(B227&lt;&gt;"",ROW()-2,"")</f>
        <v/>
      </c>
      <c r="B227" s="4"/>
      <c r="C227" s="4"/>
      <c r="D227" s="5"/>
      <c r="E227" s="6"/>
      <c r="F227" s="5"/>
      <c r="G227" s="7"/>
      <c r="H227" s="8"/>
      <c r="I227" s="8"/>
      <c r="J227" s="9"/>
      <c r="K227" s="10" t="str">
        <f aca="false">IF(H227*J227=0,"",H227*J227)</f>
        <v/>
      </c>
      <c r="L227" s="11"/>
      <c r="M227" s="11"/>
      <c r="N227" s="10" t="str">
        <f aca="false">IF(L227+M227=0,"",L227+M227)</f>
        <v/>
      </c>
      <c r="O227" s="12" t="str">
        <f aca="false">IF(OR(H227="",I227="",J227=""),"",IF(F227="Long",(I227-H227)*J227*IF(G227="",1,G227),(H227-I227)*J227*IF(G227="",1,G227)))</f>
        <v/>
      </c>
      <c r="P227" s="13" t="str">
        <f aca="false">IF(O227="","",O227-IF(N227="",0,N227))</f>
        <v/>
      </c>
      <c r="Q227" s="14" t="str">
        <f aca="false">IFERROR(IF(P227="","",P227/K227),"")</f>
        <v/>
      </c>
      <c r="R227" s="6"/>
      <c r="S227" s="5"/>
      <c r="T227" s="15"/>
    </row>
    <row r="228" customFormat="false" ht="18" hidden="false" customHeight="true" outlineLevel="0" collapsed="false">
      <c r="A228" s="16" t="str">
        <f aca="false">IF(B228&lt;&gt;"",ROW()-2,"")</f>
        <v/>
      </c>
      <c r="B228" s="17"/>
      <c r="C228" s="17"/>
      <c r="D228" s="18"/>
      <c r="E228" s="19"/>
      <c r="F228" s="18"/>
      <c r="G228" s="20"/>
      <c r="H228" s="21"/>
      <c r="I228" s="21"/>
      <c r="J228" s="22"/>
      <c r="K228" s="23" t="str">
        <f aca="false">IF(H228*J228=0,"",H228*J228)</f>
        <v/>
      </c>
      <c r="L228" s="24"/>
      <c r="M228" s="24"/>
      <c r="N228" s="23" t="str">
        <f aca="false">IF(L228+M228=0,"",L228+M228)</f>
        <v/>
      </c>
      <c r="O228" s="25" t="str">
        <f aca="false">IF(OR(H228="",I228="",J228=""),"",IF(F228="Long",(I228-H228)*J228*IF(G228="",1,G228),(H228-I228)*J228*IF(G228="",1,G228)))</f>
        <v/>
      </c>
      <c r="P228" s="26" t="str">
        <f aca="false">IF(O228="","",O228-IF(N228="",0,N228))</f>
        <v/>
      </c>
      <c r="Q228" s="27" t="str">
        <f aca="false">IFERROR(IF(P228="","",P228/K228),"")</f>
        <v/>
      </c>
      <c r="R228" s="19"/>
      <c r="S228" s="18"/>
      <c r="T228" s="28"/>
    </row>
    <row r="229" customFormat="false" ht="18" hidden="false" customHeight="true" outlineLevel="0" collapsed="false">
      <c r="A229" s="3" t="str">
        <f aca="false">IF(B229&lt;&gt;"",ROW()-2,"")</f>
        <v/>
      </c>
      <c r="B229" s="4"/>
      <c r="C229" s="4"/>
      <c r="D229" s="5"/>
      <c r="E229" s="6"/>
      <c r="F229" s="5"/>
      <c r="G229" s="7"/>
      <c r="H229" s="8"/>
      <c r="I229" s="8"/>
      <c r="J229" s="9"/>
      <c r="K229" s="10" t="str">
        <f aca="false">IF(H229*J229=0,"",H229*J229)</f>
        <v/>
      </c>
      <c r="L229" s="11"/>
      <c r="M229" s="11"/>
      <c r="N229" s="10" t="str">
        <f aca="false">IF(L229+M229=0,"",L229+M229)</f>
        <v/>
      </c>
      <c r="O229" s="12" t="str">
        <f aca="false">IF(OR(H229="",I229="",J229=""),"",IF(F229="Long",(I229-H229)*J229*IF(G229="",1,G229),(H229-I229)*J229*IF(G229="",1,G229)))</f>
        <v/>
      </c>
      <c r="P229" s="13" t="str">
        <f aca="false">IF(O229="","",O229-IF(N229="",0,N229))</f>
        <v/>
      </c>
      <c r="Q229" s="14" t="str">
        <f aca="false">IFERROR(IF(P229="","",P229/K229),"")</f>
        <v/>
      </c>
      <c r="R229" s="6"/>
      <c r="S229" s="5"/>
      <c r="T229" s="15"/>
    </row>
    <row r="230" customFormat="false" ht="18" hidden="false" customHeight="true" outlineLevel="0" collapsed="false">
      <c r="A230" s="16" t="str">
        <f aca="false">IF(B230&lt;&gt;"",ROW()-2,"")</f>
        <v/>
      </c>
      <c r="B230" s="17"/>
      <c r="C230" s="17"/>
      <c r="D230" s="18"/>
      <c r="E230" s="19"/>
      <c r="F230" s="18"/>
      <c r="G230" s="20"/>
      <c r="H230" s="21"/>
      <c r="I230" s="21"/>
      <c r="J230" s="22"/>
      <c r="K230" s="23" t="str">
        <f aca="false">IF(H230*J230=0,"",H230*J230)</f>
        <v/>
      </c>
      <c r="L230" s="24"/>
      <c r="M230" s="24"/>
      <c r="N230" s="23" t="str">
        <f aca="false">IF(L230+M230=0,"",L230+M230)</f>
        <v/>
      </c>
      <c r="O230" s="25" t="str">
        <f aca="false">IF(OR(H230="",I230="",J230=""),"",IF(F230="Long",(I230-H230)*J230*IF(G230="",1,G230),(H230-I230)*J230*IF(G230="",1,G230)))</f>
        <v/>
      </c>
      <c r="P230" s="26" t="str">
        <f aca="false">IF(O230="","",O230-IF(N230="",0,N230))</f>
        <v/>
      </c>
      <c r="Q230" s="27" t="str">
        <f aca="false">IFERROR(IF(P230="","",P230/K230),"")</f>
        <v/>
      </c>
      <c r="R230" s="19"/>
      <c r="S230" s="18"/>
      <c r="T230" s="28"/>
    </row>
    <row r="231" customFormat="false" ht="18" hidden="false" customHeight="true" outlineLevel="0" collapsed="false">
      <c r="A231" s="3" t="str">
        <f aca="false">IF(B231&lt;&gt;"",ROW()-2,"")</f>
        <v/>
      </c>
      <c r="B231" s="4"/>
      <c r="C231" s="4"/>
      <c r="D231" s="5"/>
      <c r="E231" s="6"/>
      <c r="F231" s="5"/>
      <c r="G231" s="7"/>
      <c r="H231" s="8"/>
      <c r="I231" s="8"/>
      <c r="J231" s="9"/>
      <c r="K231" s="10" t="str">
        <f aca="false">IF(H231*J231=0,"",H231*J231)</f>
        <v/>
      </c>
      <c r="L231" s="11"/>
      <c r="M231" s="11"/>
      <c r="N231" s="10" t="str">
        <f aca="false">IF(L231+M231=0,"",L231+M231)</f>
        <v/>
      </c>
      <c r="O231" s="12" t="str">
        <f aca="false">IF(OR(H231="",I231="",J231=""),"",IF(F231="Long",(I231-H231)*J231*IF(G231="",1,G231),(H231-I231)*J231*IF(G231="",1,G231)))</f>
        <v/>
      </c>
      <c r="P231" s="13" t="str">
        <f aca="false">IF(O231="","",O231-IF(N231="",0,N231))</f>
        <v/>
      </c>
      <c r="Q231" s="14" t="str">
        <f aca="false">IFERROR(IF(P231="","",P231/K231),"")</f>
        <v/>
      </c>
      <c r="R231" s="6"/>
      <c r="S231" s="5"/>
      <c r="T231" s="15"/>
    </row>
    <row r="232" customFormat="false" ht="18" hidden="false" customHeight="true" outlineLevel="0" collapsed="false">
      <c r="A232" s="16" t="str">
        <f aca="false">IF(B232&lt;&gt;"",ROW()-2,"")</f>
        <v/>
      </c>
      <c r="B232" s="17"/>
      <c r="C232" s="17"/>
      <c r="D232" s="18"/>
      <c r="E232" s="19"/>
      <c r="F232" s="18"/>
      <c r="G232" s="20"/>
      <c r="H232" s="21"/>
      <c r="I232" s="21"/>
      <c r="J232" s="22"/>
      <c r="K232" s="23" t="str">
        <f aca="false">IF(H232*J232=0,"",H232*J232)</f>
        <v/>
      </c>
      <c r="L232" s="24"/>
      <c r="M232" s="24"/>
      <c r="N232" s="23" t="str">
        <f aca="false">IF(L232+M232=0,"",L232+M232)</f>
        <v/>
      </c>
      <c r="O232" s="25" t="str">
        <f aca="false">IF(OR(H232="",I232="",J232=""),"",IF(F232="Long",(I232-H232)*J232*IF(G232="",1,G232),(H232-I232)*J232*IF(G232="",1,G232)))</f>
        <v/>
      </c>
      <c r="P232" s="26" t="str">
        <f aca="false">IF(O232="","",O232-IF(N232="",0,N232))</f>
        <v/>
      </c>
      <c r="Q232" s="27" t="str">
        <f aca="false">IFERROR(IF(P232="","",P232/K232),"")</f>
        <v/>
      </c>
      <c r="R232" s="19"/>
      <c r="S232" s="18"/>
      <c r="T232" s="28"/>
    </row>
    <row r="233" customFormat="false" ht="18" hidden="false" customHeight="true" outlineLevel="0" collapsed="false">
      <c r="A233" s="3" t="str">
        <f aca="false">IF(B233&lt;&gt;"",ROW()-2,"")</f>
        <v/>
      </c>
      <c r="B233" s="4"/>
      <c r="C233" s="4"/>
      <c r="D233" s="5"/>
      <c r="E233" s="6"/>
      <c r="F233" s="5"/>
      <c r="G233" s="7"/>
      <c r="H233" s="8"/>
      <c r="I233" s="8"/>
      <c r="J233" s="9"/>
      <c r="K233" s="10" t="str">
        <f aca="false">IF(H233*J233=0,"",H233*J233)</f>
        <v/>
      </c>
      <c r="L233" s="11"/>
      <c r="M233" s="11"/>
      <c r="N233" s="10" t="str">
        <f aca="false">IF(L233+M233=0,"",L233+M233)</f>
        <v/>
      </c>
      <c r="O233" s="12" t="str">
        <f aca="false">IF(OR(H233="",I233="",J233=""),"",IF(F233="Long",(I233-H233)*J233*IF(G233="",1,G233),(H233-I233)*J233*IF(G233="",1,G233)))</f>
        <v/>
      </c>
      <c r="P233" s="13" t="str">
        <f aca="false">IF(O233="","",O233-IF(N233="",0,N233))</f>
        <v/>
      </c>
      <c r="Q233" s="14" t="str">
        <f aca="false">IFERROR(IF(P233="","",P233/K233),"")</f>
        <v/>
      </c>
      <c r="R233" s="6"/>
      <c r="S233" s="5"/>
      <c r="T233" s="15"/>
    </row>
    <row r="234" customFormat="false" ht="18" hidden="false" customHeight="true" outlineLevel="0" collapsed="false">
      <c r="A234" s="16" t="str">
        <f aca="false">IF(B234&lt;&gt;"",ROW()-2,"")</f>
        <v/>
      </c>
      <c r="B234" s="17"/>
      <c r="C234" s="17"/>
      <c r="D234" s="18"/>
      <c r="E234" s="19"/>
      <c r="F234" s="18"/>
      <c r="G234" s="20"/>
      <c r="H234" s="21"/>
      <c r="I234" s="21"/>
      <c r="J234" s="22"/>
      <c r="K234" s="23" t="str">
        <f aca="false">IF(H234*J234=0,"",H234*J234)</f>
        <v/>
      </c>
      <c r="L234" s="24"/>
      <c r="M234" s="24"/>
      <c r="N234" s="23" t="str">
        <f aca="false">IF(L234+M234=0,"",L234+M234)</f>
        <v/>
      </c>
      <c r="O234" s="25" t="str">
        <f aca="false">IF(OR(H234="",I234="",J234=""),"",IF(F234="Long",(I234-H234)*J234*IF(G234="",1,G234),(H234-I234)*J234*IF(G234="",1,G234)))</f>
        <v/>
      </c>
      <c r="P234" s="26" t="str">
        <f aca="false">IF(O234="","",O234-IF(N234="",0,N234))</f>
        <v/>
      </c>
      <c r="Q234" s="27" t="str">
        <f aca="false">IFERROR(IF(P234="","",P234/K234),"")</f>
        <v/>
      </c>
      <c r="R234" s="19"/>
      <c r="S234" s="18"/>
      <c r="T234" s="28"/>
    </row>
    <row r="235" customFormat="false" ht="18" hidden="false" customHeight="true" outlineLevel="0" collapsed="false">
      <c r="A235" s="3" t="str">
        <f aca="false">IF(B235&lt;&gt;"",ROW()-2,"")</f>
        <v/>
      </c>
      <c r="B235" s="4"/>
      <c r="C235" s="4"/>
      <c r="D235" s="5"/>
      <c r="E235" s="6"/>
      <c r="F235" s="5"/>
      <c r="G235" s="7"/>
      <c r="H235" s="8"/>
      <c r="I235" s="8"/>
      <c r="J235" s="9"/>
      <c r="K235" s="10" t="str">
        <f aca="false">IF(H235*J235=0,"",H235*J235)</f>
        <v/>
      </c>
      <c r="L235" s="11"/>
      <c r="M235" s="11"/>
      <c r="N235" s="10" t="str">
        <f aca="false">IF(L235+M235=0,"",L235+M235)</f>
        <v/>
      </c>
      <c r="O235" s="12" t="str">
        <f aca="false">IF(OR(H235="",I235="",J235=""),"",IF(F235="Long",(I235-H235)*J235*IF(G235="",1,G235),(H235-I235)*J235*IF(G235="",1,G235)))</f>
        <v/>
      </c>
      <c r="P235" s="13" t="str">
        <f aca="false">IF(O235="","",O235-IF(N235="",0,N235))</f>
        <v/>
      </c>
      <c r="Q235" s="14" t="str">
        <f aca="false">IFERROR(IF(P235="","",P235/K235),"")</f>
        <v/>
      </c>
      <c r="R235" s="6"/>
      <c r="S235" s="5"/>
      <c r="T235" s="15"/>
    </row>
    <row r="236" customFormat="false" ht="18" hidden="false" customHeight="true" outlineLevel="0" collapsed="false">
      <c r="A236" s="16" t="str">
        <f aca="false">IF(B236&lt;&gt;"",ROW()-2,"")</f>
        <v/>
      </c>
      <c r="B236" s="17"/>
      <c r="C236" s="17"/>
      <c r="D236" s="18"/>
      <c r="E236" s="19"/>
      <c r="F236" s="18"/>
      <c r="G236" s="20"/>
      <c r="H236" s="21"/>
      <c r="I236" s="21"/>
      <c r="J236" s="22"/>
      <c r="K236" s="23" t="str">
        <f aca="false">IF(H236*J236=0,"",H236*J236)</f>
        <v/>
      </c>
      <c r="L236" s="24"/>
      <c r="M236" s="24"/>
      <c r="N236" s="23" t="str">
        <f aca="false">IF(L236+M236=0,"",L236+M236)</f>
        <v/>
      </c>
      <c r="O236" s="25" t="str">
        <f aca="false">IF(OR(H236="",I236="",J236=""),"",IF(F236="Long",(I236-H236)*J236*IF(G236="",1,G236),(H236-I236)*J236*IF(G236="",1,G236)))</f>
        <v/>
      </c>
      <c r="P236" s="26" t="str">
        <f aca="false">IF(O236="","",O236-IF(N236="",0,N236))</f>
        <v/>
      </c>
      <c r="Q236" s="27" t="str">
        <f aca="false">IFERROR(IF(P236="","",P236/K236),"")</f>
        <v/>
      </c>
      <c r="R236" s="19"/>
      <c r="S236" s="18"/>
      <c r="T236" s="28"/>
    </row>
    <row r="237" customFormat="false" ht="18" hidden="false" customHeight="true" outlineLevel="0" collapsed="false">
      <c r="A237" s="3" t="str">
        <f aca="false">IF(B237&lt;&gt;"",ROW()-2,"")</f>
        <v/>
      </c>
      <c r="B237" s="4"/>
      <c r="C237" s="4"/>
      <c r="D237" s="5"/>
      <c r="E237" s="6"/>
      <c r="F237" s="5"/>
      <c r="G237" s="7"/>
      <c r="H237" s="8"/>
      <c r="I237" s="8"/>
      <c r="J237" s="9"/>
      <c r="K237" s="10" t="str">
        <f aca="false">IF(H237*J237=0,"",H237*J237)</f>
        <v/>
      </c>
      <c r="L237" s="11"/>
      <c r="M237" s="11"/>
      <c r="N237" s="10" t="str">
        <f aca="false">IF(L237+M237=0,"",L237+M237)</f>
        <v/>
      </c>
      <c r="O237" s="12" t="str">
        <f aca="false">IF(OR(H237="",I237="",J237=""),"",IF(F237="Long",(I237-H237)*J237*IF(G237="",1,G237),(H237-I237)*J237*IF(G237="",1,G237)))</f>
        <v/>
      </c>
      <c r="P237" s="13" t="str">
        <f aca="false">IF(O237="","",O237-IF(N237="",0,N237))</f>
        <v/>
      </c>
      <c r="Q237" s="14" t="str">
        <f aca="false">IFERROR(IF(P237="","",P237/K237),"")</f>
        <v/>
      </c>
      <c r="R237" s="6"/>
      <c r="S237" s="5"/>
      <c r="T237" s="15"/>
    </row>
    <row r="238" customFormat="false" ht="18" hidden="false" customHeight="true" outlineLevel="0" collapsed="false">
      <c r="A238" s="16" t="str">
        <f aca="false">IF(B238&lt;&gt;"",ROW()-2,"")</f>
        <v/>
      </c>
      <c r="B238" s="17"/>
      <c r="C238" s="17"/>
      <c r="D238" s="18"/>
      <c r="E238" s="19"/>
      <c r="F238" s="18"/>
      <c r="G238" s="20"/>
      <c r="H238" s="21"/>
      <c r="I238" s="21"/>
      <c r="J238" s="22"/>
      <c r="K238" s="23" t="str">
        <f aca="false">IF(H238*J238=0,"",H238*J238)</f>
        <v/>
      </c>
      <c r="L238" s="24"/>
      <c r="M238" s="24"/>
      <c r="N238" s="23" t="str">
        <f aca="false">IF(L238+M238=0,"",L238+M238)</f>
        <v/>
      </c>
      <c r="O238" s="25" t="str">
        <f aca="false">IF(OR(H238="",I238="",J238=""),"",IF(F238="Long",(I238-H238)*J238*IF(G238="",1,G238),(H238-I238)*J238*IF(G238="",1,G238)))</f>
        <v/>
      </c>
      <c r="P238" s="26" t="str">
        <f aca="false">IF(O238="","",O238-IF(N238="",0,N238))</f>
        <v/>
      </c>
      <c r="Q238" s="27" t="str">
        <f aca="false">IFERROR(IF(P238="","",P238/K238),"")</f>
        <v/>
      </c>
      <c r="R238" s="19"/>
      <c r="S238" s="18"/>
      <c r="T238" s="28"/>
    </row>
    <row r="239" customFormat="false" ht="18" hidden="false" customHeight="true" outlineLevel="0" collapsed="false">
      <c r="A239" s="3" t="str">
        <f aca="false">IF(B239&lt;&gt;"",ROW()-2,"")</f>
        <v/>
      </c>
      <c r="B239" s="4"/>
      <c r="C239" s="4"/>
      <c r="D239" s="5"/>
      <c r="E239" s="6"/>
      <c r="F239" s="5"/>
      <c r="G239" s="7"/>
      <c r="H239" s="8"/>
      <c r="I239" s="8"/>
      <c r="J239" s="9"/>
      <c r="K239" s="10" t="str">
        <f aca="false">IF(H239*J239=0,"",H239*J239)</f>
        <v/>
      </c>
      <c r="L239" s="11"/>
      <c r="M239" s="11"/>
      <c r="N239" s="10" t="str">
        <f aca="false">IF(L239+M239=0,"",L239+M239)</f>
        <v/>
      </c>
      <c r="O239" s="12" t="str">
        <f aca="false">IF(OR(H239="",I239="",J239=""),"",IF(F239="Long",(I239-H239)*J239*IF(G239="",1,G239),(H239-I239)*J239*IF(G239="",1,G239)))</f>
        <v/>
      </c>
      <c r="P239" s="13" t="str">
        <f aca="false">IF(O239="","",O239-IF(N239="",0,N239))</f>
        <v/>
      </c>
      <c r="Q239" s="14" t="str">
        <f aca="false">IFERROR(IF(P239="","",P239/K239),"")</f>
        <v/>
      </c>
      <c r="R239" s="6"/>
      <c r="S239" s="5"/>
      <c r="T239" s="15"/>
    </row>
    <row r="240" customFormat="false" ht="18" hidden="false" customHeight="true" outlineLevel="0" collapsed="false">
      <c r="A240" s="16" t="str">
        <f aca="false">IF(B240&lt;&gt;"",ROW()-2,"")</f>
        <v/>
      </c>
      <c r="B240" s="17"/>
      <c r="C240" s="17"/>
      <c r="D240" s="18"/>
      <c r="E240" s="19"/>
      <c r="F240" s="18"/>
      <c r="G240" s="20"/>
      <c r="H240" s="21"/>
      <c r="I240" s="21"/>
      <c r="J240" s="22"/>
      <c r="K240" s="23" t="str">
        <f aca="false">IF(H240*J240=0,"",H240*J240)</f>
        <v/>
      </c>
      <c r="L240" s="24"/>
      <c r="M240" s="24"/>
      <c r="N240" s="23" t="str">
        <f aca="false">IF(L240+M240=0,"",L240+M240)</f>
        <v/>
      </c>
      <c r="O240" s="25" t="str">
        <f aca="false">IF(OR(H240="",I240="",J240=""),"",IF(F240="Long",(I240-H240)*J240*IF(G240="",1,G240),(H240-I240)*J240*IF(G240="",1,G240)))</f>
        <v/>
      </c>
      <c r="P240" s="26" t="str">
        <f aca="false">IF(O240="","",O240-IF(N240="",0,N240))</f>
        <v/>
      </c>
      <c r="Q240" s="27" t="str">
        <f aca="false">IFERROR(IF(P240="","",P240/K240),"")</f>
        <v/>
      </c>
      <c r="R240" s="19"/>
      <c r="S240" s="18"/>
      <c r="T240" s="28"/>
    </row>
    <row r="241" customFormat="false" ht="18" hidden="false" customHeight="true" outlineLevel="0" collapsed="false">
      <c r="A241" s="3" t="str">
        <f aca="false">IF(B241&lt;&gt;"",ROW()-2,"")</f>
        <v/>
      </c>
      <c r="B241" s="4"/>
      <c r="C241" s="4"/>
      <c r="D241" s="5"/>
      <c r="E241" s="6"/>
      <c r="F241" s="5"/>
      <c r="G241" s="7"/>
      <c r="H241" s="8"/>
      <c r="I241" s="8"/>
      <c r="J241" s="9"/>
      <c r="K241" s="10" t="str">
        <f aca="false">IF(H241*J241=0,"",H241*J241)</f>
        <v/>
      </c>
      <c r="L241" s="11"/>
      <c r="M241" s="11"/>
      <c r="N241" s="10" t="str">
        <f aca="false">IF(L241+M241=0,"",L241+M241)</f>
        <v/>
      </c>
      <c r="O241" s="12" t="str">
        <f aca="false">IF(OR(H241="",I241="",J241=""),"",IF(F241="Long",(I241-H241)*J241*IF(G241="",1,G241),(H241-I241)*J241*IF(G241="",1,G241)))</f>
        <v/>
      </c>
      <c r="P241" s="13" t="str">
        <f aca="false">IF(O241="","",O241-IF(N241="",0,N241))</f>
        <v/>
      </c>
      <c r="Q241" s="14" t="str">
        <f aca="false">IFERROR(IF(P241="","",P241/K241),"")</f>
        <v/>
      </c>
      <c r="R241" s="6"/>
      <c r="S241" s="5"/>
      <c r="T241" s="15"/>
    </row>
    <row r="242" customFormat="false" ht="18" hidden="false" customHeight="true" outlineLevel="0" collapsed="false">
      <c r="A242" s="16" t="str">
        <f aca="false">IF(B242&lt;&gt;"",ROW()-2,"")</f>
        <v/>
      </c>
      <c r="B242" s="17"/>
      <c r="C242" s="17"/>
      <c r="D242" s="18"/>
      <c r="E242" s="19"/>
      <c r="F242" s="18"/>
      <c r="G242" s="20"/>
      <c r="H242" s="21"/>
      <c r="I242" s="21"/>
      <c r="J242" s="22"/>
      <c r="K242" s="23" t="str">
        <f aca="false">IF(H242*J242=0,"",H242*J242)</f>
        <v/>
      </c>
      <c r="L242" s="24"/>
      <c r="M242" s="24"/>
      <c r="N242" s="23" t="str">
        <f aca="false">IF(L242+M242=0,"",L242+M242)</f>
        <v/>
      </c>
      <c r="O242" s="25" t="str">
        <f aca="false">IF(OR(H242="",I242="",J242=""),"",IF(F242="Long",(I242-H242)*J242*IF(G242="",1,G242),(H242-I242)*J242*IF(G242="",1,G242)))</f>
        <v/>
      </c>
      <c r="P242" s="26" t="str">
        <f aca="false">IF(O242="","",O242-IF(N242="",0,N242))</f>
        <v/>
      </c>
      <c r="Q242" s="27" t="str">
        <f aca="false">IFERROR(IF(P242="","",P242/K242),"")</f>
        <v/>
      </c>
      <c r="R242" s="19"/>
      <c r="S242" s="18"/>
      <c r="T242" s="28"/>
    </row>
    <row r="243" customFormat="false" ht="18" hidden="false" customHeight="true" outlineLevel="0" collapsed="false">
      <c r="A243" s="3" t="str">
        <f aca="false">IF(B243&lt;&gt;"",ROW()-2,"")</f>
        <v/>
      </c>
      <c r="B243" s="4"/>
      <c r="C243" s="4"/>
      <c r="D243" s="5"/>
      <c r="E243" s="6"/>
      <c r="F243" s="5"/>
      <c r="G243" s="7"/>
      <c r="H243" s="8"/>
      <c r="I243" s="8"/>
      <c r="J243" s="9"/>
      <c r="K243" s="10" t="str">
        <f aca="false">IF(H243*J243=0,"",H243*J243)</f>
        <v/>
      </c>
      <c r="L243" s="11"/>
      <c r="M243" s="11"/>
      <c r="N243" s="10" t="str">
        <f aca="false">IF(L243+M243=0,"",L243+M243)</f>
        <v/>
      </c>
      <c r="O243" s="12" t="str">
        <f aca="false">IF(OR(H243="",I243="",J243=""),"",IF(F243="Long",(I243-H243)*J243*IF(G243="",1,G243),(H243-I243)*J243*IF(G243="",1,G243)))</f>
        <v/>
      </c>
      <c r="P243" s="13" t="str">
        <f aca="false">IF(O243="","",O243-IF(N243="",0,N243))</f>
        <v/>
      </c>
      <c r="Q243" s="14" t="str">
        <f aca="false">IFERROR(IF(P243="","",P243/K243),"")</f>
        <v/>
      </c>
      <c r="R243" s="6"/>
      <c r="S243" s="5"/>
      <c r="T243" s="15"/>
    </row>
    <row r="244" customFormat="false" ht="18" hidden="false" customHeight="true" outlineLevel="0" collapsed="false">
      <c r="A244" s="16" t="str">
        <f aca="false">IF(B244&lt;&gt;"",ROW()-2,"")</f>
        <v/>
      </c>
      <c r="B244" s="17"/>
      <c r="C244" s="17"/>
      <c r="D244" s="18"/>
      <c r="E244" s="19"/>
      <c r="F244" s="18"/>
      <c r="G244" s="20"/>
      <c r="H244" s="21"/>
      <c r="I244" s="21"/>
      <c r="J244" s="22"/>
      <c r="K244" s="23" t="str">
        <f aca="false">IF(H244*J244=0,"",H244*J244)</f>
        <v/>
      </c>
      <c r="L244" s="24"/>
      <c r="M244" s="24"/>
      <c r="N244" s="23" t="str">
        <f aca="false">IF(L244+M244=0,"",L244+M244)</f>
        <v/>
      </c>
      <c r="O244" s="25" t="str">
        <f aca="false">IF(OR(H244="",I244="",J244=""),"",IF(F244="Long",(I244-H244)*J244*IF(G244="",1,G244),(H244-I244)*J244*IF(G244="",1,G244)))</f>
        <v/>
      </c>
      <c r="P244" s="26" t="str">
        <f aca="false">IF(O244="","",O244-IF(N244="",0,N244))</f>
        <v/>
      </c>
      <c r="Q244" s="27" t="str">
        <f aca="false">IFERROR(IF(P244="","",P244/K244),"")</f>
        <v/>
      </c>
      <c r="R244" s="19"/>
      <c r="S244" s="18"/>
      <c r="T244" s="28"/>
    </row>
    <row r="245" customFormat="false" ht="18" hidden="false" customHeight="true" outlineLevel="0" collapsed="false">
      <c r="A245" s="3" t="str">
        <f aca="false">IF(B245&lt;&gt;"",ROW()-2,"")</f>
        <v/>
      </c>
      <c r="B245" s="4"/>
      <c r="C245" s="4"/>
      <c r="D245" s="5"/>
      <c r="E245" s="6"/>
      <c r="F245" s="5"/>
      <c r="G245" s="7"/>
      <c r="H245" s="8"/>
      <c r="I245" s="8"/>
      <c r="J245" s="9"/>
      <c r="K245" s="10" t="str">
        <f aca="false">IF(H245*J245=0,"",H245*J245)</f>
        <v/>
      </c>
      <c r="L245" s="11"/>
      <c r="M245" s="11"/>
      <c r="N245" s="10" t="str">
        <f aca="false">IF(L245+M245=0,"",L245+M245)</f>
        <v/>
      </c>
      <c r="O245" s="12" t="str">
        <f aca="false">IF(OR(H245="",I245="",J245=""),"",IF(F245="Long",(I245-H245)*J245*IF(G245="",1,G245),(H245-I245)*J245*IF(G245="",1,G245)))</f>
        <v/>
      </c>
      <c r="P245" s="13" t="str">
        <f aca="false">IF(O245="","",O245-IF(N245="",0,N245))</f>
        <v/>
      </c>
      <c r="Q245" s="14" t="str">
        <f aca="false">IFERROR(IF(P245="","",P245/K245),"")</f>
        <v/>
      </c>
      <c r="R245" s="6"/>
      <c r="S245" s="5"/>
      <c r="T245" s="15"/>
    </row>
    <row r="246" customFormat="false" ht="18" hidden="false" customHeight="true" outlineLevel="0" collapsed="false">
      <c r="A246" s="16" t="str">
        <f aca="false">IF(B246&lt;&gt;"",ROW()-2,"")</f>
        <v/>
      </c>
      <c r="B246" s="17"/>
      <c r="C246" s="17"/>
      <c r="D246" s="18"/>
      <c r="E246" s="19"/>
      <c r="F246" s="18"/>
      <c r="G246" s="20"/>
      <c r="H246" s="21"/>
      <c r="I246" s="21"/>
      <c r="J246" s="22"/>
      <c r="K246" s="23" t="str">
        <f aca="false">IF(H246*J246=0,"",H246*J246)</f>
        <v/>
      </c>
      <c r="L246" s="24"/>
      <c r="M246" s="24"/>
      <c r="N246" s="23" t="str">
        <f aca="false">IF(L246+M246=0,"",L246+M246)</f>
        <v/>
      </c>
      <c r="O246" s="25" t="str">
        <f aca="false">IF(OR(H246="",I246="",J246=""),"",IF(F246="Long",(I246-H246)*J246*IF(G246="",1,G246),(H246-I246)*J246*IF(G246="",1,G246)))</f>
        <v/>
      </c>
      <c r="P246" s="26" t="str">
        <f aca="false">IF(O246="","",O246-IF(N246="",0,N246))</f>
        <v/>
      </c>
      <c r="Q246" s="27" t="str">
        <f aca="false">IFERROR(IF(P246="","",P246/K246),"")</f>
        <v/>
      </c>
      <c r="R246" s="19"/>
      <c r="S246" s="18"/>
      <c r="T246" s="28"/>
    </row>
    <row r="247" customFormat="false" ht="18" hidden="false" customHeight="true" outlineLevel="0" collapsed="false">
      <c r="A247" s="3" t="str">
        <f aca="false">IF(B247&lt;&gt;"",ROW()-2,"")</f>
        <v/>
      </c>
      <c r="B247" s="4"/>
      <c r="C247" s="4"/>
      <c r="D247" s="5"/>
      <c r="E247" s="6"/>
      <c r="F247" s="5"/>
      <c r="G247" s="7"/>
      <c r="H247" s="8"/>
      <c r="I247" s="8"/>
      <c r="J247" s="9"/>
      <c r="K247" s="10" t="str">
        <f aca="false">IF(H247*J247=0,"",H247*J247)</f>
        <v/>
      </c>
      <c r="L247" s="11"/>
      <c r="M247" s="11"/>
      <c r="N247" s="10" t="str">
        <f aca="false">IF(L247+M247=0,"",L247+M247)</f>
        <v/>
      </c>
      <c r="O247" s="12" t="str">
        <f aca="false">IF(OR(H247="",I247="",J247=""),"",IF(F247="Long",(I247-H247)*J247*IF(G247="",1,G247),(H247-I247)*J247*IF(G247="",1,G247)))</f>
        <v/>
      </c>
      <c r="P247" s="13" t="str">
        <f aca="false">IF(O247="","",O247-IF(N247="",0,N247))</f>
        <v/>
      </c>
      <c r="Q247" s="14" t="str">
        <f aca="false">IFERROR(IF(P247="","",P247/K247),"")</f>
        <v/>
      </c>
      <c r="R247" s="6"/>
      <c r="S247" s="5"/>
      <c r="T247" s="15"/>
    </row>
    <row r="248" customFormat="false" ht="18" hidden="false" customHeight="true" outlineLevel="0" collapsed="false">
      <c r="A248" s="16" t="str">
        <f aca="false">IF(B248&lt;&gt;"",ROW()-2,"")</f>
        <v/>
      </c>
      <c r="B248" s="17"/>
      <c r="C248" s="17"/>
      <c r="D248" s="18"/>
      <c r="E248" s="19"/>
      <c r="F248" s="18"/>
      <c r="G248" s="20"/>
      <c r="H248" s="21"/>
      <c r="I248" s="21"/>
      <c r="J248" s="22"/>
      <c r="K248" s="23" t="str">
        <f aca="false">IF(H248*J248=0,"",H248*J248)</f>
        <v/>
      </c>
      <c r="L248" s="24"/>
      <c r="M248" s="24"/>
      <c r="N248" s="23" t="str">
        <f aca="false">IF(L248+M248=0,"",L248+M248)</f>
        <v/>
      </c>
      <c r="O248" s="25" t="str">
        <f aca="false">IF(OR(H248="",I248="",J248=""),"",IF(F248="Long",(I248-H248)*J248*IF(G248="",1,G248),(H248-I248)*J248*IF(G248="",1,G248)))</f>
        <v/>
      </c>
      <c r="P248" s="26" t="str">
        <f aca="false">IF(O248="","",O248-IF(N248="",0,N248))</f>
        <v/>
      </c>
      <c r="Q248" s="27" t="str">
        <f aca="false">IFERROR(IF(P248="","",P248/K248),"")</f>
        <v/>
      </c>
      <c r="R248" s="19"/>
      <c r="S248" s="18"/>
      <c r="T248" s="28"/>
    </row>
    <row r="249" customFormat="false" ht="18" hidden="false" customHeight="true" outlineLevel="0" collapsed="false">
      <c r="A249" s="3" t="str">
        <f aca="false">IF(B249&lt;&gt;"",ROW()-2,"")</f>
        <v/>
      </c>
      <c r="B249" s="4"/>
      <c r="C249" s="4"/>
      <c r="D249" s="5"/>
      <c r="E249" s="6"/>
      <c r="F249" s="5"/>
      <c r="G249" s="7"/>
      <c r="H249" s="8"/>
      <c r="I249" s="8"/>
      <c r="J249" s="9"/>
      <c r="K249" s="10" t="str">
        <f aca="false">IF(H249*J249=0,"",H249*J249)</f>
        <v/>
      </c>
      <c r="L249" s="11"/>
      <c r="M249" s="11"/>
      <c r="N249" s="10" t="str">
        <f aca="false">IF(L249+M249=0,"",L249+M249)</f>
        <v/>
      </c>
      <c r="O249" s="12" t="str">
        <f aca="false">IF(OR(H249="",I249="",J249=""),"",IF(F249="Long",(I249-H249)*J249*IF(G249="",1,G249),(H249-I249)*J249*IF(G249="",1,G249)))</f>
        <v/>
      </c>
      <c r="P249" s="13" t="str">
        <f aca="false">IF(O249="","",O249-IF(N249="",0,N249))</f>
        <v/>
      </c>
      <c r="Q249" s="14" t="str">
        <f aca="false">IFERROR(IF(P249="","",P249/K249),"")</f>
        <v/>
      </c>
      <c r="R249" s="6"/>
      <c r="S249" s="5"/>
      <c r="T249" s="15"/>
    </row>
    <row r="250" customFormat="false" ht="18" hidden="false" customHeight="true" outlineLevel="0" collapsed="false">
      <c r="A250" s="16" t="str">
        <f aca="false">IF(B250&lt;&gt;"",ROW()-2,"")</f>
        <v/>
      </c>
      <c r="B250" s="17"/>
      <c r="C250" s="17"/>
      <c r="D250" s="18"/>
      <c r="E250" s="19"/>
      <c r="F250" s="18"/>
      <c r="G250" s="20"/>
      <c r="H250" s="21"/>
      <c r="I250" s="21"/>
      <c r="J250" s="22"/>
      <c r="K250" s="23" t="str">
        <f aca="false">IF(H250*J250=0,"",H250*J250)</f>
        <v/>
      </c>
      <c r="L250" s="24"/>
      <c r="M250" s="24"/>
      <c r="N250" s="23" t="str">
        <f aca="false">IF(L250+M250=0,"",L250+M250)</f>
        <v/>
      </c>
      <c r="O250" s="25" t="str">
        <f aca="false">IF(OR(H250="",I250="",J250=""),"",IF(F250="Long",(I250-H250)*J250*IF(G250="",1,G250),(H250-I250)*J250*IF(G250="",1,G250)))</f>
        <v/>
      </c>
      <c r="P250" s="26" t="str">
        <f aca="false">IF(O250="","",O250-IF(N250="",0,N250))</f>
        <v/>
      </c>
      <c r="Q250" s="27" t="str">
        <f aca="false">IFERROR(IF(P250="","",P250/K250),"")</f>
        <v/>
      </c>
      <c r="R250" s="19"/>
      <c r="S250" s="18"/>
      <c r="T250" s="28"/>
    </row>
    <row r="251" customFormat="false" ht="18" hidden="false" customHeight="true" outlineLevel="0" collapsed="false">
      <c r="A251" s="3" t="str">
        <f aca="false">IF(B251&lt;&gt;"",ROW()-2,"")</f>
        <v/>
      </c>
      <c r="B251" s="4"/>
      <c r="C251" s="4"/>
      <c r="D251" s="5"/>
      <c r="E251" s="6"/>
      <c r="F251" s="5"/>
      <c r="G251" s="7"/>
      <c r="H251" s="8"/>
      <c r="I251" s="8"/>
      <c r="J251" s="9"/>
      <c r="K251" s="10" t="str">
        <f aca="false">IF(H251*J251=0,"",H251*J251)</f>
        <v/>
      </c>
      <c r="L251" s="11"/>
      <c r="M251" s="11"/>
      <c r="N251" s="10" t="str">
        <f aca="false">IF(L251+M251=0,"",L251+M251)</f>
        <v/>
      </c>
      <c r="O251" s="12" t="str">
        <f aca="false">IF(OR(H251="",I251="",J251=""),"",IF(F251="Long",(I251-H251)*J251*IF(G251="",1,G251),(H251-I251)*J251*IF(G251="",1,G251)))</f>
        <v/>
      </c>
      <c r="P251" s="13" t="str">
        <f aca="false">IF(O251="","",O251-IF(N251="",0,N251))</f>
        <v/>
      </c>
      <c r="Q251" s="14" t="str">
        <f aca="false">IFERROR(IF(P251="","",P251/K251),"")</f>
        <v/>
      </c>
      <c r="R251" s="6"/>
      <c r="S251" s="5"/>
      <c r="T251" s="15"/>
    </row>
    <row r="252" customFormat="false" ht="18" hidden="false" customHeight="true" outlineLevel="0" collapsed="false">
      <c r="A252" s="16" t="str">
        <f aca="false">IF(B252&lt;&gt;"",ROW()-2,"")</f>
        <v/>
      </c>
      <c r="B252" s="17"/>
      <c r="C252" s="17"/>
      <c r="D252" s="18"/>
      <c r="E252" s="19"/>
      <c r="F252" s="18"/>
      <c r="G252" s="20"/>
      <c r="H252" s="21"/>
      <c r="I252" s="21"/>
      <c r="J252" s="22"/>
      <c r="K252" s="23" t="str">
        <f aca="false">IF(H252*J252=0,"",H252*J252)</f>
        <v/>
      </c>
      <c r="L252" s="24"/>
      <c r="M252" s="24"/>
      <c r="N252" s="23" t="str">
        <f aca="false">IF(L252+M252=0,"",L252+M252)</f>
        <v/>
      </c>
      <c r="O252" s="25" t="str">
        <f aca="false">IF(OR(H252="",I252="",J252=""),"",IF(F252="Long",(I252-H252)*J252*IF(G252="",1,G252),(H252-I252)*J252*IF(G252="",1,G252)))</f>
        <v/>
      </c>
      <c r="P252" s="26" t="str">
        <f aca="false">IF(O252="","",O252-IF(N252="",0,N252))</f>
        <v/>
      </c>
      <c r="Q252" s="27" t="str">
        <f aca="false">IFERROR(IF(P252="","",P252/K252),"")</f>
        <v/>
      </c>
      <c r="R252" s="19"/>
      <c r="S252" s="18"/>
      <c r="T252" s="28"/>
    </row>
    <row r="253" customFormat="false" ht="18" hidden="false" customHeight="true" outlineLevel="0" collapsed="false">
      <c r="A253" s="3" t="str">
        <f aca="false">IF(B253&lt;&gt;"",ROW()-2,"")</f>
        <v/>
      </c>
      <c r="B253" s="4"/>
      <c r="C253" s="4"/>
      <c r="D253" s="5"/>
      <c r="E253" s="6"/>
      <c r="F253" s="5"/>
      <c r="G253" s="7"/>
      <c r="H253" s="8"/>
      <c r="I253" s="8"/>
      <c r="J253" s="9"/>
      <c r="K253" s="10" t="str">
        <f aca="false">IF(H253*J253=0,"",H253*J253)</f>
        <v/>
      </c>
      <c r="L253" s="11"/>
      <c r="M253" s="11"/>
      <c r="N253" s="10" t="str">
        <f aca="false">IF(L253+M253=0,"",L253+M253)</f>
        <v/>
      </c>
      <c r="O253" s="12" t="str">
        <f aca="false">IF(OR(H253="",I253="",J253=""),"",IF(F253="Long",(I253-H253)*J253*IF(G253="",1,G253),(H253-I253)*J253*IF(G253="",1,G253)))</f>
        <v/>
      </c>
      <c r="P253" s="13" t="str">
        <f aca="false">IF(O253="","",O253-IF(N253="",0,N253))</f>
        <v/>
      </c>
      <c r="Q253" s="14" t="str">
        <f aca="false">IFERROR(IF(P253="","",P253/K253),"")</f>
        <v/>
      </c>
      <c r="R253" s="6"/>
      <c r="S253" s="5"/>
      <c r="T253" s="15"/>
    </row>
    <row r="254" customFormat="false" ht="18" hidden="false" customHeight="true" outlineLevel="0" collapsed="false">
      <c r="A254" s="16" t="str">
        <f aca="false">IF(B254&lt;&gt;"",ROW()-2,"")</f>
        <v/>
      </c>
      <c r="B254" s="17"/>
      <c r="C254" s="17"/>
      <c r="D254" s="18"/>
      <c r="E254" s="19"/>
      <c r="F254" s="18"/>
      <c r="G254" s="20"/>
      <c r="H254" s="21"/>
      <c r="I254" s="21"/>
      <c r="J254" s="22"/>
      <c r="K254" s="23" t="str">
        <f aca="false">IF(H254*J254=0,"",H254*J254)</f>
        <v/>
      </c>
      <c r="L254" s="24"/>
      <c r="M254" s="24"/>
      <c r="N254" s="23" t="str">
        <f aca="false">IF(L254+M254=0,"",L254+M254)</f>
        <v/>
      </c>
      <c r="O254" s="25" t="str">
        <f aca="false">IF(OR(H254="",I254="",J254=""),"",IF(F254="Long",(I254-H254)*J254*IF(G254="",1,G254),(H254-I254)*J254*IF(G254="",1,G254)))</f>
        <v/>
      </c>
      <c r="P254" s="26" t="str">
        <f aca="false">IF(O254="","",O254-IF(N254="",0,N254))</f>
        <v/>
      </c>
      <c r="Q254" s="27" t="str">
        <f aca="false">IFERROR(IF(P254="","",P254/K254),"")</f>
        <v/>
      </c>
      <c r="R254" s="19"/>
      <c r="S254" s="18"/>
      <c r="T254" s="28"/>
    </row>
    <row r="255" customFormat="false" ht="18" hidden="false" customHeight="true" outlineLevel="0" collapsed="false">
      <c r="A255" s="3" t="str">
        <f aca="false">IF(B255&lt;&gt;"",ROW()-2,"")</f>
        <v/>
      </c>
      <c r="B255" s="4"/>
      <c r="C255" s="4"/>
      <c r="D255" s="5"/>
      <c r="E255" s="6"/>
      <c r="F255" s="5"/>
      <c r="G255" s="7"/>
      <c r="H255" s="8"/>
      <c r="I255" s="8"/>
      <c r="J255" s="9"/>
      <c r="K255" s="10" t="str">
        <f aca="false">IF(H255*J255=0,"",H255*J255)</f>
        <v/>
      </c>
      <c r="L255" s="11"/>
      <c r="M255" s="11"/>
      <c r="N255" s="10" t="str">
        <f aca="false">IF(L255+M255=0,"",L255+M255)</f>
        <v/>
      </c>
      <c r="O255" s="12" t="str">
        <f aca="false">IF(OR(H255="",I255="",J255=""),"",IF(F255="Long",(I255-H255)*J255*IF(G255="",1,G255),(H255-I255)*J255*IF(G255="",1,G255)))</f>
        <v/>
      </c>
      <c r="P255" s="13" t="str">
        <f aca="false">IF(O255="","",O255-IF(N255="",0,N255))</f>
        <v/>
      </c>
      <c r="Q255" s="14" t="str">
        <f aca="false">IFERROR(IF(P255="","",P255/K255),"")</f>
        <v/>
      </c>
      <c r="R255" s="6"/>
      <c r="S255" s="5"/>
      <c r="T255" s="15"/>
    </row>
    <row r="256" customFormat="false" ht="18" hidden="false" customHeight="true" outlineLevel="0" collapsed="false">
      <c r="A256" s="16" t="str">
        <f aca="false">IF(B256&lt;&gt;"",ROW()-2,"")</f>
        <v/>
      </c>
      <c r="B256" s="17"/>
      <c r="C256" s="17"/>
      <c r="D256" s="18"/>
      <c r="E256" s="19"/>
      <c r="F256" s="18"/>
      <c r="G256" s="20"/>
      <c r="H256" s="21"/>
      <c r="I256" s="21"/>
      <c r="J256" s="22"/>
      <c r="K256" s="23" t="str">
        <f aca="false">IF(H256*J256=0,"",H256*J256)</f>
        <v/>
      </c>
      <c r="L256" s="24"/>
      <c r="M256" s="24"/>
      <c r="N256" s="23" t="str">
        <f aca="false">IF(L256+M256=0,"",L256+M256)</f>
        <v/>
      </c>
      <c r="O256" s="25" t="str">
        <f aca="false">IF(OR(H256="",I256="",J256=""),"",IF(F256="Long",(I256-H256)*J256*IF(G256="",1,G256),(H256-I256)*J256*IF(G256="",1,G256)))</f>
        <v/>
      </c>
      <c r="P256" s="26" t="str">
        <f aca="false">IF(O256="","",O256-IF(N256="",0,N256))</f>
        <v/>
      </c>
      <c r="Q256" s="27" t="str">
        <f aca="false">IFERROR(IF(P256="","",P256/K256),"")</f>
        <v/>
      </c>
      <c r="R256" s="19"/>
      <c r="S256" s="18"/>
      <c r="T256" s="28"/>
    </row>
    <row r="257" customFormat="false" ht="18" hidden="false" customHeight="true" outlineLevel="0" collapsed="false">
      <c r="A257" s="3" t="str">
        <f aca="false">IF(B257&lt;&gt;"",ROW()-2,"")</f>
        <v/>
      </c>
      <c r="B257" s="4"/>
      <c r="C257" s="4"/>
      <c r="D257" s="5"/>
      <c r="E257" s="6"/>
      <c r="F257" s="5"/>
      <c r="G257" s="7"/>
      <c r="H257" s="8"/>
      <c r="I257" s="8"/>
      <c r="J257" s="9"/>
      <c r="K257" s="10" t="str">
        <f aca="false">IF(H257*J257=0,"",H257*J257)</f>
        <v/>
      </c>
      <c r="L257" s="11"/>
      <c r="M257" s="11"/>
      <c r="N257" s="10" t="str">
        <f aca="false">IF(L257+M257=0,"",L257+M257)</f>
        <v/>
      </c>
      <c r="O257" s="12" t="str">
        <f aca="false">IF(OR(H257="",I257="",J257=""),"",IF(F257="Long",(I257-H257)*J257*IF(G257="",1,G257),(H257-I257)*J257*IF(G257="",1,G257)))</f>
        <v/>
      </c>
      <c r="P257" s="13" t="str">
        <f aca="false">IF(O257="","",O257-IF(N257="",0,N257))</f>
        <v/>
      </c>
      <c r="Q257" s="14" t="str">
        <f aca="false">IFERROR(IF(P257="","",P257/K257),"")</f>
        <v/>
      </c>
      <c r="R257" s="6"/>
      <c r="S257" s="5"/>
      <c r="T257" s="15"/>
    </row>
    <row r="258" customFormat="false" ht="18" hidden="false" customHeight="true" outlineLevel="0" collapsed="false">
      <c r="A258" s="16" t="str">
        <f aca="false">IF(B258&lt;&gt;"",ROW()-2,"")</f>
        <v/>
      </c>
      <c r="B258" s="17"/>
      <c r="C258" s="17"/>
      <c r="D258" s="18"/>
      <c r="E258" s="19"/>
      <c r="F258" s="18"/>
      <c r="G258" s="20"/>
      <c r="H258" s="21"/>
      <c r="I258" s="21"/>
      <c r="J258" s="22"/>
      <c r="K258" s="23" t="str">
        <f aca="false">IF(H258*J258=0,"",H258*J258)</f>
        <v/>
      </c>
      <c r="L258" s="24"/>
      <c r="M258" s="24"/>
      <c r="N258" s="23" t="str">
        <f aca="false">IF(L258+M258=0,"",L258+M258)</f>
        <v/>
      </c>
      <c r="O258" s="25" t="str">
        <f aca="false">IF(OR(H258="",I258="",J258=""),"",IF(F258="Long",(I258-H258)*J258*IF(G258="",1,G258),(H258-I258)*J258*IF(G258="",1,G258)))</f>
        <v/>
      </c>
      <c r="P258" s="26" t="str">
        <f aca="false">IF(O258="","",O258-IF(N258="",0,N258))</f>
        <v/>
      </c>
      <c r="Q258" s="27" t="str">
        <f aca="false">IFERROR(IF(P258="","",P258/K258),"")</f>
        <v/>
      </c>
      <c r="R258" s="19"/>
      <c r="S258" s="18"/>
      <c r="T258" s="28"/>
    </row>
    <row r="259" customFormat="false" ht="18" hidden="false" customHeight="true" outlineLevel="0" collapsed="false">
      <c r="A259" s="3" t="str">
        <f aca="false">IF(B259&lt;&gt;"",ROW()-2,"")</f>
        <v/>
      </c>
      <c r="B259" s="4"/>
      <c r="C259" s="4"/>
      <c r="D259" s="5"/>
      <c r="E259" s="6"/>
      <c r="F259" s="5"/>
      <c r="G259" s="7"/>
      <c r="H259" s="8"/>
      <c r="I259" s="8"/>
      <c r="J259" s="9"/>
      <c r="K259" s="10" t="str">
        <f aca="false">IF(H259*J259=0,"",H259*J259)</f>
        <v/>
      </c>
      <c r="L259" s="11"/>
      <c r="M259" s="11"/>
      <c r="N259" s="10" t="str">
        <f aca="false">IF(L259+M259=0,"",L259+M259)</f>
        <v/>
      </c>
      <c r="O259" s="12" t="str">
        <f aca="false">IF(OR(H259="",I259="",J259=""),"",IF(F259="Long",(I259-H259)*J259*IF(G259="",1,G259),(H259-I259)*J259*IF(G259="",1,G259)))</f>
        <v/>
      </c>
      <c r="P259" s="13" t="str">
        <f aca="false">IF(O259="","",O259-IF(N259="",0,N259))</f>
        <v/>
      </c>
      <c r="Q259" s="14" t="str">
        <f aca="false">IFERROR(IF(P259="","",P259/K259),"")</f>
        <v/>
      </c>
      <c r="R259" s="6"/>
      <c r="S259" s="5"/>
      <c r="T259" s="15"/>
    </row>
    <row r="260" customFormat="false" ht="18" hidden="false" customHeight="true" outlineLevel="0" collapsed="false">
      <c r="A260" s="16" t="str">
        <f aca="false">IF(B260&lt;&gt;"",ROW()-2,"")</f>
        <v/>
      </c>
      <c r="B260" s="17"/>
      <c r="C260" s="17"/>
      <c r="D260" s="18"/>
      <c r="E260" s="19"/>
      <c r="F260" s="18"/>
      <c r="G260" s="20"/>
      <c r="H260" s="21"/>
      <c r="I260" s="21"/>
      <c r="J260" s="22"/>
      <c r="K260" s="23" t="str">
        <f aca="false">IF(H260*J260=0,"",H260*J260)</f>
        <v/>
      </c>
      <c r="L260" s="24"/>
      <c r="M260" s="24"/>
      <c r="N260" s="23" t="str">
        <f aca="false">IF(L260+M260=0,"",L260+M260)</f>
        <v/>
      </c>
      <c r="O260" s="25" t="str">
        <f aca="false">IF(OR(H260="",I260="",J260=""),"",IF(F260="Long",(I260-H260)*J260*IF(G260="",1,G260),(H260-I260)*J260*IF(G260="",1,G260)))</f>
        <v/>
      </c>
      <c r="P260" s="26" t="str">
        <f aca="false">IF(O260="","",O260-IF(N260="",0,N260))</f>
        <v/>
      </c>
      <c r="Q260" s="27" t="str">
        <f aca="false">IFERROR(IF(P260="","",P260/K260),"")</f>
        <v/>
      </c>
      <c r="R260" s="19"/>
      <c r="S260" s="18"/>
      <c r="T260" s="28"/>
    </row>
    <row r="261" customFormat="false" ht="18" hidden="false" customHeight="true" outlineLevel="0" collapsed="false">
      <c r="A261" s="3" t="str">
        <f aca="false">IF(B261&lt;&gt;"",ROW()-2,"")</f>
        <v/>
      </c>
      <c r="B261" s="4"/>
      <c r="C261" s="4"/>
      <c r="D261" s="5"/>
      <c r="E261" s="6"/>
      <c r="F261" s="5"/>
      <c r="G261" s="7"/>
      <c r="H261" s="8"/>
      <c r="I261" s="8"/>
      <c r="J261" s="9"/>
      <c r="K261" s="10" t="str">
        <f aca="false">IF(H261*J261=0,"",H261*J261)</f>
        <v/>
      </c>
      <c r="L261" s="11"/>
      <c r="M261" s="11"/>
      <c r="N261" s="10" t="str">
        <f aca="false">IF(L261+M261=0,"",L261+M261)</f>
        <v/>
      </c>
      <c r="O261" s="12" t="str">
        <f aca="false">IF(OR(H261="",I261="",J261=""),"",IF(F261="Long",(I261-H261)*J261*IF(G261="",1,G261),(H261-I261)*J261*IF(G261="",1,G261)))</f>
        <v/>
      </c>
      <c r="P261" s="13" t="str">
        <f aca="false">IF(O261="","",O261-IF(N261="",0,N261))</f>
        <v/>
      </c>
      <c r="Q261" s="14" t="str">
        <f aca="false">IFERROR(IF(P261="","",P261/K261),"")</f>
        <v/>
      </c>
      <c r="R261" s="6"/>
      <c r="S261" s="5"/>
      <c r="T261" s="15"/>
    </row>
    <row r="262" customFormat="false" ht="18" hidden="false" customHeight="true" outlineLevel="0" collapsed="false">
      <c r="A262" s="16" t="str">
        <f aca="false">IF(B262&lt;&gt;"",ROW()-2,"")</f>
        <v/>
      </c>
      <c r="B262" s="17"/>
      <c r="C262" s="17"/>
      <c r="D262" s="18"/>
      <c r="E262" s="19"/>
      <c r="F262" s="18"/>
      <c r="G262" s="20"/>
      <c r="H262" s="21"/>
      <c r="I262" s="21"/>
      <c r="J262" s="22"/>
      <c r="K262" s="23" t="str">
        <f aca="false">IF(H262*J262=0,"",H262*J262)</f>
        <v/>
      </c>
      <c r="L262" s="24"/>
      <c r="M262" s="24"/>
      <c r="N262" s="23" t="str">
        <f aca="false">IF(L262+M262=0,"",L262+M262)</f>
        <v/>
      </c>
      <c r="O262" s="25" t="str">
        <f aca="false">IF(OR(H262="",I262="",J262=""),"",IF(F262="Long",(I262-H262)*J262*IF(G262="",1,G262),(H262-I262)*J262*IF(G262="",1,G262)))</f>
        <v/>
      </c>
      <c r="P262" s="26" t="str">
        <f aca="false">IF(O262="","",O262-IF(N262="",0,N262))</f>
        <v/>
      </c>
      <c r="Q262" s="27" t="str">
        <f aca="false">IFERROR(IF(P262="","",P262/K262),"")</f>
        <v/>
      </c>
      <c r="R262" s="19"/>
      <c r="S262" s="18"/>
      <c r="T262" s="28"/>
    </row>
    <row r="263" customFormat="false" ht="18" hidden="false" customHeight="true" outlineLevel="0" collapsed="false">
      <c r="A263" s="3" t="str">
        <f aca="false">IF(B263&lt;&gt;"",ROW()-2,"")</f>
        <v/>
      </c>
      <c r="B263" s="4"/>
      <c r="C263" s="4"/>
      <c r="D263" s="5"/>
      <c r="E263" s="6"/>
      <c r="F263" s="5"/>
      <c r="G263" s="7"/>
      <c r="H263" s="8"/>
      <c r="I263" s="8"/>
      <c r="J263" s="9"/>
      <c r="K263" s="10" t="str">
        <f aca="false">IF(H263*J263=0,"",H263*J263)</f>
        <v/>
      </c>
      <c r="L263" s="11"/>
      <c r="M263" s="11"/>
      <c r="N263" s="10" t="str">
        <f aca="false">IF(L263+M263=0,"",L263+M263)</f>
        <v/>
      </c>
      <c r="O263" s="12" t="str">
        <f aca="false">IF(OR(H263="",I263="",J263=""),"",IF(F263="Long",(I263-H263)*J263*IF(G263="",1,G263),(H263-I263)*J263*IF(G263="",1,G263)))</f>
        <v/>
      </c>
      <c r="P263" s="13" t="str">
        <f aca="false">IF(O263="","",O263-IF(N263="",0,N263))</f>
        <v/>
      </c>
      <c r="Q263" s="14" t="str">
        <f aca="false">IFERROR(IF(P263="","",P263/K263),"")</f>
        <v/>
      </c>
      <c r="R263" s="6"/>
      <c r="S263" s="5"/>
      <c r="T263" s="15"/>
    </row>
    <row r="264" customFormat="false" ht="18" hidden="false" customHeight="true" outlineLevel="0" collapsed="false">
      <c r="A264" s="16" t="str">
        <f aca="false">IF(B264&lt;&gt;"",ROW()-2,"")</f>
        <v/>
      </c>
      <c r="B264" s="17"/>
      <c r="C264" s="17"/>
      <c r="D264" s="18"/>
      <c r="E264" s="19"/>
      <c r="F264" s="18"/>
      <c r="G264" s="20"/>
      <c r="H264" s="21"/>
      <c r="I264" s="21"/>
      <c r="J264" s="22"/>
      <c r="K264" s="23" t="str">
        <f aca="false">IF(H264*J264=0,"",H264*J264)</f>
        <v/>
      </c>
      <c r="L264" s="24"/>
      <c r="M264" s="24"/>
      <c r="N264" s="23" t="str">
        <f aca="false">IF(L264+M264=0,"",L264+M264)</f>
        <v/>
      </c>
      <c r="O264" s="25" t="str">
        <f aca="false">IF(OR(H264="",I264="",J264=""),"",IF(F264="Long",(I264-H264)*J264*IF(G264="",1,G264),(H264-I264)*J264*IF(G264="",1,G264)))</f>
        <v/>
      </c>
      <c r="P264" s="26" t="str">
        <f aca="false">IF(O264="","",O264-IF(N264="",0,N264))</f>
        <v/>
      </c>
      <c r="Q264" s="27" t="str">
        <f aca="false">IFERROR(IF(P264="","",P264/K264),"")</f>
        <v/>
      </c>
      <c r="R264" s="19"/>
      <c r="S264" s="18"/>
      <c r="T264" s="28"/>
    </row>
    <row r="265" customFormat="false" ht="18" hidden="false" customHeight="true" outlineLevel="0" collapsed="false">
      <c r="A265" s="3" t="str">
        <f aca="false">IF(B265&lt;&gt;"",ROW()-2,"")</f>
        <v/>
      </c>
      <c r="B265" s="4"/>
      <c r="C265" s="4"/>
      <c r="D265" s="5"/>
      <c r="E265" s="6"/>
      <c r="F265" s="5"/>
      <c r="G265" s="7"/>
      <c r="H265" s="8"/>
      <c r="I265" s="8"/>
      <c r="J265" s="9"/>
      <c r="K265" s="10" t="str">
        <f aca="false">IF(H265*J265=0,"",H265*J265)</f>
        <v/>
      </c>
      <c r="L265" s="11"/>
      <c r="M265" s="11"/>
      <c r="N265" s="10" t="str">
        <f aca="false">IF(L265+M265=0,"",L265+M265)</f>
        <v/>
      </c>
      <c r="O265" s="12" t="str">
        <f aca="false">IF(OR(H265="",I265="",J265=""),"",IF(F265="Long",(I265-H265)*J265*IF(G265="",1,G265),(H265-I265)*J265*IF(G265="",1,G265)))</f>
        <v/>
      </c>
      <c r="P265" s="13" t="str">
        <f aca="false">IF(O265="","",O265-IF(N265="",0,N265))</f>
        <v/>
      </c>
      <c r="Q265" s="14" t="str">
        <f aca="false">IFERROR(IF(P265="","",P265/K265),"")</f>
        <v/>
      </c>
      <c r="R265" s="6"/>
      <c r="S265" s="5"/>
      <c r="T265" s="15"/>
    </row>
    <row r="266" customFormat="false" ht="18" hidden="false" customHeight="true" outlineLevel="0" collapsed="false">
      <c r="A266" s="16" t="str">
        <f aca="false">IF(B266&lt;&gt;"",ROW()-2,"")</f>
        <v/>
      </c>
      <c r="B266" s="17"/>
      <c r="C266" s="17"/>
      <c r="D266" s="18"/>
      <c r="E266" s="19"/>
      <c r="F266" s="18"/>
      <c r="G266" s="20"/>
      <c r="H266" s="21"/>
      <c r="I266" s="21"/>
      <c r="J266" s="22"/>
      <c r="K266" s="23" t="str">
        <f aca="false">IF(H266*J266=0,"",H266*J266)</f>
        <v/>
      </c>
      <c r="L266" s="24"/>
      <c r="M266" s="24"/>
      <c r="N266" s="23" t="str">
        <f aca="false">IF(L266+M266=0,"",L266+M266)</f>
        <v/>
      </c>
      <c r="O266" s="25" t="str">
        <f aca="false">IF(OR(H266="",I266="",J266=""),"",IF(F266="Long",(I266-H266)*J266*IF(G266="",1,G266),(H266-I266)*J266*IF(G266="",1,G266)))</f>
        <v/>
      </c>
      <c r="P266" s="26" t="str">
        <f aca="false">IF(O266="","",O266-IF(N266="",0,N266))</f>
        <v/>
      </c>
      <c r="Q266" s="27" t="str">
        <f aca="false">IFERROR(IF(P266="","",P266/K266),"")</f>
        <v/>
      </c>
      <c r="R266" s="19"/>
      <c r="S266" s="18"/>
      <c r="T266" s="28"/>
    </row>
    <row r="267" customFormat="false" ht="18" hidden="false" customHeight="true" outlineLevel="0" collapsed="false">
      <c r="A267" s="3" t="str">
        <f aca="false">IF(B267&lt;&gt;"",ROW()-2,"")</f>
        <v/>
      </c>
      <c r="B267" s="4"/>
      <c r="C267" s="4"/>
      <c r="D267" s="5"/>
      <c r="E267" s="6"/>
      <c r="F267" s="5"/>
      <c r="G267" s="7"/>
      <c r="H267" s="8"/>
      <c r="I267" s="8"/>
      <c r="J267" s="9"/>
      <c r="K267" s="10" t="str">
        <f aca="false">IF(H267*J267=0,"",H267*J267)</f>
        <v/>
      </c>
      <c r="L267" s="11"/>
      <c r="M267" s="11"/>
      <c r="N267" s="10" t="str">
        <f aca="false">IF(L267+M267=0,"",L267+M267)</f>
        <v/>
      </c>
      <c r="O267" s="12" t="str">
        <f aca="false">IF(OR(H267="",I267="",J267=""),"",IF(F267="Long",(I267-H267)*J267*IF(G267="",1,G267),(H267-I267)*J267*IF(G267="",1,G267)))</f>
        <v/>
      </c>
      <c r="P267" s="13" t="str">
        <f aca="false">IF(O267="","",O267-IF(N267="",0,N267))</f>
        <v/>
      </c>
      <c r="Q267" s="14" t="str">
        <f aca="false">IFERROR(IF(P267="","",P267/K267),"")</f>
        <v/>
      </c>
      <c r="R267" s="6"/>
      <c r="S267" s="5"/>
      <c r="T267" s="15"/>
    </row>
    <row r="268" customFormat="false" ht="18" hidden="false" customHeight="true" outlineLevel="0" collapsed="false">
      <c r="A268" s="16" t="str">
        <f aca="false">IF(B268&lt;&gt;"",ROW()-2,"")</f>
        <v/>
      </c>
      <c r="B268" s="17"/>
      <c r="C268" s="17"/>
      <c r="D268" s="18"/>
      <c r="E268" s="19"/>
      <c r="F268" s="18"/>
      <c r="G268" s="20"/>
      <c r="H268" s="21"/>
      <c r="I268" s="21"/>
      <c r="J268" s="22"/>
      <c r="K268" s="23" t="str">
        <f aca="false">IF(H268*J268=0,"",H268*J268)</f>
        <v/>
      </c>
      <c r="L268" s="24"/>
      <c r="M268" s="24"/>
      <c r="N268" s="23" t="str">
        <f aca="false">IF(L268+M268=0,"",L268+M268)</f>
        <v/>
      </c>
      <c r="O268" s="25" t="str">
        <f aca="false">IF(OR(H268="",I268="",J268=""),"",IF(F268="Long",(I268-H268)*J268*IF(G268="",1,G268),(H268-I268)*J268*IF(G268="",1,G268)))</f>
        <v/>
      </c>
      <c r="P268" s="26" t="str">
        <f aca="false">IF(O268="","",O268-IF(N268="",0,N268))</f>
        <v/>
      </c>
      <c r="Q268" s="27" t="str">
        <f aca="false">IFERROR(IF(P268="","",P268/K268),"")</f>
        <v/>
      </c>
      <c r="R268" s="19"/>
      <c r="S268" s="18"/>
      <c r="T268" s="28"/>
    </row>
    <row r="269" customFormat="false" ht="18" hidden="false" customHeight="true" outlineLevel="0" collapsed="false">
      <c r="A269" s="3" t="str">
        <f aca="false">IF(B269&lt;&gt;"",ROW()-2,"")</f>
        <v/>
      </c>
      <c r="B269" s="4"/>
      <c r="C269" s="4"/>
      <c r="D269" s="5"/>
      <c r="E269" s="6"/>
      <c r="F269" s="5"/>
      <c r="G269" s="7"/>
      <c r="H269" s="8"/>
      <c r="I269" s="8"/>
      <c r="J269" s="9"/>
      <c r="K269" s="10" t="str">
        <f aca="false">IF(H269*J269=0,"",H269*J269)</f>
        <v/>
      </c>
      <c r="L269" s="11"/>
      <c r="M269" s="11"/>
      <c r="N269" s="10" t="str">
        <f aca="false">IF(L269+M269=0,"",L269+M269)</f>
        <v/>
      </c>
      <c r="O269" s="12" t="str">
        <f aca="false">IF(OR(H269="",I269="",J269=""),"",IF(F269="Long",(I269-H269)*J269*IF(G269="",1,G269),(H269-I269)*J269*IF(G269="",1,G269)))</f>
        <v/>
      </c>
      <c r="P269" s="13" t="str">
        <f aca="false">IF(O269="","",O269-IF(N269="",0,N269))</f>
        <v/>
      </c>
      <c r="Q269" s="14" t="str">
        <f aca="false">IFERROR(IF(P269="","",P269/K269),"")</f>
        <v/>
      </c>
      <c r="R269" s="6"/>
      <c r="S269" s="5"/>
      <c r="T269" s="15"/>
    </row>
    <row r="270" customFormat="false" ht="18" hidden="false" customHeight="true" outlineLevel="0" collapsed="false">
      <c r="A270" s="16" t="str">
        <f aca="false">IF(B270&lt;&gt;"",ROW()-2,"")</f>
        <v/>
      </c>
      <c r="B270" s="17"/>
      <c r="C270" s="17"/>
      <c r="D270" s="18"/>
      <c r="E270" s="19"/>
      <c r="F270" s="18"/>
      <c r="G270" s="20"/>
      <c r="H270" s="21"/>
      <c r="I270" s="21"/>
      <c r="J270" s="22"/>
      <c r="K270" s="23" t="str">
        <f aca="false">IF(H270*J270=0,"",H270*J270)</f>
        <v/>
      </c>
      <c r="L270" s="24"/>
      <c r="M270" s="24"/>
      <c r="N270" s="23" t="str">
        <f aca="false">IF(L270+M270=0,"",L270+M270)</f>
        <v/>
      </c>
      <c r="O270" s="25" t="str">
        <f aca="false">IF(OR(H270="",I270="",J270=""),"",IF(F270="Long",(I270-H270)*J270*IF(G270="",1,G270),(H270-I270)*J270*IF(G270="",1,G270)))</f>
        <v/>
      </c>
      <c r="P270" s="26" t="str">
        <f aca="false">IF(O270="","",O270-IF(N270="",0,N270))</f>
        <v/>
      </c>
      <c r="Q270" s="27" t="str">
        <f aca="false">IFERROR(IF(P270="","",P270/K270),"")</f>
        <v/>
      </c>
      <c r="R270" s="19"/>
      <c r="S270" s="18"/>
      <c r="T270" s="28"/>
    </row>
    <row r="271" customFormat="false" ht="18" hidden="false" customHeight="true" outlineLevel="0" collapsed="false">
      <c r="A271" s="3" t="str">
        <f aca="false">IF(B271&lt;&gt;"",ROW()-2,"")</f>
        <v/>
      </c>
      <c r="B271" s="4"/>
      <c r="C271" s="4"/>
      <c r="D271" s="5"/>
      <c r="E271" s="6"/>
      <c r="F271" s="5"/>
      <c r="G271" s="7"/>
      <c r="H271" s="8"/>
      <c r="I271" s="8"/>
      <c r="J271" s="9"/>
      <c r="K271" s="10" t="str">
        <f aca="false">IF(H271*J271=0,"",H271*J271)</f>
        <v/>
      </c>
      <c r="L271" s="11"/>
      <c r="M271" s="11"/>
      <c r="N271" s="10" t="str">
        <f aca="false">IF(L271+M271=0,"",L271+M271)</f>
        <v/>
      </c>
      <c r="O271" s="12" t="str">
        <f aca="false">IF(OR(H271="",I271="",J271=""),"",IF(F271="Long",(I271-H271)*J271*IF(G271="",1,G271),(H271-I271)*J271*IF(G271="",1,G271)))</f>
        <v/>
      </c>
      <c r="P271" s="13" t="str">
        <f aca="false">IF(O271="","",O271-IF(N271="",0,N271))</f>
        <v/>
      </c>
      <c r="Q271" s="14" t="str">
        <f aca="false">IFERROR(IF(P271="","",P271/K271),"")</f>
        <v/>
      </c>
      <c r="R271" s="6"/>
      <c r="S271" s="5"/>
      <c r="T271" s="15"/>
    </row>
    <row r="272" customFormat="false" ht="18" hidden="false" customHeight="true" outlineLevel="0" collapsed="false">
      <c r="A272" s="16" t="str">
        <f aca="false">IF(B272&lt;&gt;"",ROW()-2,"")</f>
        <v/>
      </c>
      <c r="B272" s="17"/>
      <c r="C272" s="17"/>
      <c r="D272" s="18"/>
      <c r="E272" s="19"/>
      <c r="F272" s="18"/>
      <c r="G272" s="20"/>
      <c r="H272" s="21"/>
      <c r="I272" s="21"/>
      <c r="J272" s="22"/>
      <c r="K272" s="23" t="str">
        <f aca="false">IF(H272*J272=0,"",H272*J272)</f>
        <v/>
      </c>
      <c r="L272" s="24"/>
      <c r="M272" s="24"/>
      <c r="N272" s="23" t="str">
        <f aca="false">IF(L272+M272=0,"",L272+M272)</f>
        <v/>
      </c>
      <c r="O272" s="25" t="str">
        <f aca="false">IF(OR(H272="",I272="",J272=""),"",IF(F272="Long",(I272-H272)*J272*IF(G272="",1,G272),(H272-I272)*J272*IF(G272="",1,G272)))</f>
        <v/>
      </c>
      <c r="P272" s="26" t="str">
        <f aca="false">IF(O272="","",O272-IF(N272="",0,N272))</f>
        <v/>
      </c>
      <c r="Q272" s="27" t="str">
        <f aca="false">IFERROR(IF(P272="","",P272/K272),"")</f>
        <v/>
      </c>
      <c r="R272" s="19"/>
      <c r="S272" s="18"/>
      <c r="T272" s="28"/>
    </row>
    <row r="273" customFormat="false" ht="18" hidden="false" customHeight="true" outlineLevel="0" collapsed="false">
      <c r="A273" s="3" t="str">
        <f aca="false">IF(B273&lt;&gt;"",ROW()-2,"")</f>
        <v/>
      </c>
      <c r="B273" s="4"/>
      <c r="C273" s="4"/>
      <c r="D273" s="5"/>
      <c r="E273" s="6"/>
      <c r="F273" s="5"/>
      <c r="G273" s="7"/>
      <c r="H273" s="8"/>
      <c r="I273" s="8"/>
      <c r="J273" s="9"/>
      <c r="K273" s="10" t="str">
        <f aca="false">IF(H273*J273=0,"",H273*J273)</f>
        <v/>
      </c>
      <c r="L273" s="11"/>
      <c r="M273" s="11"/>
      <c r="N273" s="10" t="str">
        <f aca="false">IF(L273+M273=0,"",L273+M273)</f>
        <v/>
      </c>
      <c r="O273" s="12" t="str">
        <f aca="false">IF(OR(H273="",I273="",J273=""),"",IF(F273="Long",(I273-H273)*J273*IF(G273="",1,G273),(H273-I273)*J273*IF(G273="",1,G273)))</f>
        <v/>
      </c>
      <c r="P273" s="13" t="str">
        <f aca="false">IF(O273="","",O273-IF(N273="",0,N273))</f>
        <v/>
      </c>
      <c r="Q273" s="14" t="str">
        <f aca="false">IFERROR(IF(P273="","",P273/K273),"")</f>
        <v/>
      </c>
      <c r="R273" s="6"/>
      <c r="S273" s="5"/>
      <c r="T273" s="15"/>
    </row>
    <row r="274" customFormat="false" ht="18" hidden="false" customHeight="true" outlineLevel="0" collapsed="false">
      <c r="A274" s="16" t="str">
        <f aca="false">IF(B274&lt;&gt;"",ROW()-2,"")</f>
        <v/>
      </c>
      <c r="B274" s="17"/>
      <c r="C274" s="17"/>
      <c r="D274" s="18"/>
      <c r="E274" s="19"/>
      <c r="F274" s="18"/>
      <c r="G274" s="20"/>
      <c r="H274" s="21"/>
      <c r="I274" s="21"/>
      <c r="J274" s="22"/>
      <c r="K274" s="23" t="str">
        <f aca="false">IF(H274*J274=0,"",H274*J274)</f>
        <v/>
      </c>
      <c r="L274" s="24"/>
      <c r="M274" s="24"/>
      <c r="N274" s="23" t="str">
        <f aca="false">IF(L274+M274=0,"",L274+M274)</f>
        <v/>
      </c>
      <c r="O274" s="25" t="str">
        <f aca="false">IF(OR(H274="",I274="",J274=""),"",IF(F274="Long",(I274-H274)*J274*IF(G274="",1,G274),(H274-I274)*J274*IF(G274="",1,G274)))</f>
        <v/>
      </c>
      <c r="P274" s="26" t="str">
        <f aca="false">IF(O274="","",O274-IF(N274="",0,N274))</f>
        <v/>
      </c>
      <c r="Q274" s="27" t="str">
        <f aca="false">IFERROR(IF(P274="","",P274/K274),"")</f>
        <v/>
      </c>
      <c r="R274" s="19"/>
      <c r="S274" s="18"/>
      <c r="T274" s="28"/>
    </row>
    <row r="275" customFormat="false" ht="18" hidden="false" customHeight="true" outlineLevel="0" collapsed="false">
      <c r="A275" s="3" t="str">
        <f aca="false">IF(B275&lt;&gt;"",ROW()-2,"")</f>
        <v/>
      </c>
      <c r="B275" s="4"/>
      <c r="C275" s="4"/>
      <c r="D275" s="5"/>
      <c r="E275" s="6"/>
      <c r="F275" s="5"/>
      <c r="G275" s="7"/>
      <c r="H275" s="8"/>
      <c r="I275" s="8"/>
      <c r="J275" s="9"/>
      <c r="K275" s="10" t="str">
        <f aca="false">IF(H275*J275=0,"",H275*J275)</f>
        <v/>
      </c>
      <c r="L275" s="11"/>
      <c r="M275" s="11"/>
      <c r="N275" s="10" t="str">
        <f aca="false">IF(L275+M275=0,"",L275+M275)</f>
        <v/>
      </c>
      <c r="O275" s="12" t="str">
        <f aca="false">IF(OR(H275="",I275="",J275=""),"",IF(F275="Long",(I275-H275)*J275*IF(G275="",1,G275),(H275-I275)*J275*IF(G275="",1,G275)))</f>
        <v/>
      </c>
      <c r="P275" s="13" t="str">
        <f aca="false">IF(O275="","",O275-IF(N275="",0,N275))</f>
        <v/>
      </c>
      <c r="Q275" s="14" t="str">
        <f aca="false">IFERROR(IF(P275="","",P275/K275),"")</f>
        <v/>
      </c>
      <c r="R275" s="6"/>
      <c r="S275" s="5"/>
      <c r="T275" s="15"/>
    </row>
    <row r="276" customFormat="false" ht="18" hidden="false" customHeight="true" outlineLevel="0" collapsed="false">
      <c r="A276" s="16" t="str">
        <f aca="false">IF(B276&lt;&gt;"",ROW()-2,"")</f>
        <v/>
      </c>
      <c r="B276" s="17"/>
      <c r="C276" s="17"/>
      <c r="D276" s="18"/>
      <c r="E276" s="19"/>
      <c r="F276" s="18"/>
      <c r="G276" s="20"/>
      <c r="H276" s="21"/>
      <c r="I276" s="21"/>
      <c r="J276" s="22"/>
      <c r="K276" s="23" t="str">
        <f aca="false">IF(H276*J276=0,"",H276*J276)</f>
        <v/>
      </c>
      <c r="L276" s="24"/>
      <c r="M276" s="24"/>
      <c r="N276" s="23" t="str">
        <f aca="false">IF(L276+M276=0,"",L276+M276)</f>
        <v/>
      </c>
      <c r="O276" s="25" t="str">
        <f aca="false">IF(OR(H276="",I276="",J276=""),"",IF(F276="Long",(I276-H276)*J276*IF(G276="",1,G276),(H276-I276)*J276*IF(G276="",1,G276)))</f>
        <v/>
      </c>
      <c r="P276" s="26" t="str">
        <f aca="false">IF(O276="","",O276-IF(N276="",0,N276))</f>
        <v/>
      </c>
      <c r="Q276" s="27" t="str">
        <f aca="false">IFERROR(IF(P276="","",P276/K276),"")</f>
        <v/>
      </c>
      <c r="R276" s="19"/>
      <c r="S276" s="18"/>
      <c r="T276" s="28"/>
    </row>
    <row r="277" customFormat="false" ht="18" hidden="false" customHeight="true" outlineLevel="0" collapsed="false">
      <c r="A277" s="3" t="str">
        <f aca="false">IF(B277&lt;&gt;"",ROW()-2,"")</f>
        <v/>
      </c>
      <c r="B277" s="4"/>
      <c r="C277" s="4"/>
      <c r="D277" s="5"/>
      <c r="E277" s="6"/>
      <c r="F277" s="5"/>
      <c r="G277" s="7"/>
      <c r="H277" s="8"/>
      <c r="I277" s="8"/>
      <c r="J277" s="9"/>
      <c r="K277" s="10" t="str">
        <f aca="false">IF(H277*J277=0,"",H277*J277)</f>
        <v/>
      </c>
      <c r="L277" s="11"/>
      <c r="M277" s="11"/>
      <c r="N277" s="10" t="str">
        <f aca="false">IF(L277+M277=0,"",L277+M277)</f>
        <v/>
      </c>
      <c r="O277" s="12" t="str">
        <f aca="false">IF(OR(H277="",I277="",J277=""),"",IF(F277="Long",(I277-H277)*J277*IF(G277="",1,G277),(H277-I277)*J277*IF(G277="",1,G277)))</f>
        <v/>
      </c>
      <c r="P277" s="13" t="str">
        <f aca="false">IF(O277="","",O277-IF(N277="",0,N277))</f>
        <v/>
      </c>
      <c r="Q277" s="14" t="str">
        <f aca="false">IFERROR(IF(P277="","",P277/K277),"")</f>
        <v/>
      </c>
      <c r="R277" s="6"/>
      <c r="S277" s="5"/>
      <c r="T277" s="15"/>
    </row>
    <row r="278" customFormat="false" ht="18" hidden="false" customHeight="true" outlineLevel="0" collapsed="false">
      <c r="A278" s="16" t="str">
        <f aca="false">IF(B278&lt;&gt;"",ROW()-2,"")</f>
        <v/>
      </c>
      <c r="B278" s="17"/>
      <c r="C278" s="17"/>
      <c r="D278" s="18"/>
      <c r="E278" s="19"/>
      <c r="F278" s="18"/>
      <c r="G278" s="20"/>
      <c r="H278" s="21"/>
      <c r="I278" s="21"/>
      <c r="J278" s="22"/>
      <c r="K278" s="23" t="str">
        <f aca="false">IF(H278*J278=0,"",H278*J278)</f>
        <v/>
      </c>
      <c r="L278" s="24"/>
      <c r="M278" s="24"/>
      <c r="N278" s="23" t="str">
        <f aca="false">IF(L278+M278=0,"",L278+M278)</f>
        <v/>
      </c>
      <c r="O278" s="25" t="str">
        <f aca="false">IF(OR(H278="",I278="",J278=""),"",IF(F278="Long",(I278-H278)*J278*IF(G278="",1,G278),(H278-I278)*J278*IF(G278="",1,G278)))</f>
        <v/>
      </c>
      <c r="P278" s="26" t="str">
        <f aca="false">IF(O278="","",O278-IF(N278="",0,N278))</f>
        <v/>
      </c>
      <c r="Q278" s="27" t="str">
        <f aca="false">IFERROR(IF(P278="","",P278/K278),"")</f>
        <v/>
      </c>
      <c r="R278" s="19"/>
      <c r="S278" s="18"/>
      <c r="T278" s="28"/>
    </row>
    <row r="279" customFormat="false" ht="18" hidden="false" customHeight="true" outlineLevel="0" collapsed="false">
      <c r="A279" s="3" t="str">
        <f aca="false">IF(B279&lt;&gt;"",ROW()-2,"")</f>
        <v/>
      </c>
      <c r="B279" s="4"/>
      <c r="C279" s="4"/>
      <c r="D279" s="5"/>
      <c r="E279" s="6"/>
      <c r="F279" s="5"/>
      <c r="G279" s="7"/>
      <c r="H279" s="8"/>
      <c r="I279" s="8"/>
      <c r="J279" s="9"/>
      <c r="K279" s="10" t="str">
        <f aca="false">IF(H279*J279=0,"",H279*J279)</f>
        <v/>
      </c>
      <c r="L279" s="11"/>
      <c r="M279" s="11"/>
      <c r="N279" s="10" t="str">
        <f aca="false">IF(L279+M279=0,"",L279+M279)</f>
        <v/>
      </c>
      <c r="O279" s="12" t="str">
        <f aca="false">IF(OR(H279="",I279="",J279=""),"",IF(F279="Long",(I279-H279)*J279*IF(G279="",1,G279),(H279-I279)*J279*IF(G279="",1,G279)))</f>
        <v/>
      </c>
      <c r="P279" s="13" t="str">
        <f aca="false">IF(O279="","",O279-IF(N279="",0,N279))</f>
        <v/>
      </c>
      <c r="Q279" s="14" t="str">
        <f aca="false">IFERROR(IF(P279="","",P279/K279),"")</f>
        <v/>
      </c>
      <c r="R279" s="6"/>
      <c r="S279" s="5"/>
      <c r="T279" s="15"/>
    </row>
    <row r="280" customFormat="false" ht="18" hidden="false" customHeight="true" outlineLevel="0" collapsed="false">
      <c r="A280" s="16" t="str">
        <f aca="false">IF(B280&lt;&gt;"",ROW()-2,"")</f>
        <v/>
      </c>
      <c r="B280" s="17"/>
      <c r="C280" s="17"/>
      <c r="D280" s="18"/>
      <c r="E280" s="19"/>
      <c r="F280" s="18"/>
      <c r="G280" s="20"/>
      <c r="H280" s="21"/>
      <c r="I280" s="21"/>
      <c r="J280" s="22"/>
      <c r="K280" s="23" t="str">
        <f aca="false">IF(H280*J280=0,"",H280*J280)</f>
        <v/>
      </c>
      <c r="L280" s="24"/>
      <c r="M280" s="24"/>
      <c r="N280" s="23" t="str">
        <f aca="false">IF(L280+M280=0,"",L280+M280)</f>
        <v/>
      </c>
      <c r="O280" s="25" t="str">
        <f aca="false">IF(OR(H280="",I280="",J280=""),"",IF(F280="Long",(I280-H280)*J280*IF(G280="",1,G280),(H280-I280)*J280*IF(G280="",1,G280)))</f>
        <v/>
      </c>
      <c r="P280" s="26" t="str">
        <f aca="false">IF(O280="","",O280-IF(N280="",0,N280))</f>
        <v/>
      </c>
      <c r="Q280" s="27" t="str">
        <f aca="false">IFERROR(IF(P280="","",P280/K280),"")</f>
        <v/>
      </c>
      <c r="R280" s="19"/>
      <c r="S280" s="18"/>
      <c r="T280" s="28"/>
    </row>
    <row r="281" customFormat="false" ht="18" hidden="false" customHeight="true" outlineLevel="0" collapsed="false">
      <c r="A281" s="3" t="str">
        <f aca="false">IF(B281&lt;&gt;"",ROW()-2,"")</f>
        <v/>
      </c>
      <c r="B281" s="4"/>
      <c r="C281" s="4"/>
      <c r="D281" s="5"/>
      <c r="E281" s="6"/>
      <c r="F281" s="5"/>
      <c r="G281" s="7"/>
      <c r="H281" s="8"/>
      <c r="I281" s="8"/>
      <c r="J281" s="9"/>
      <c r="K281" s="10" t="str">
        <f aca="false">IF(H281*J281=0,"",H281*J281)</f>
        <v/>
      </c>
      <c r="L281" s="11"/>
      <c r="M281" s="11"/>
      <c r="N281" s="10" t="str">
        <f aca="false">IF(L281+M281=0,"",L281+M281)</f>
        <v/>
      </c>
      <c r="O281" s="12" t="str">
        <f aca="false">IF(OR(H281="",I281="",J281=""),"",IF(F281="Long",(I281-H281)*J281*IF(G281="",1,G281),(H281-I281)*J281*IF(G281="",1,G281)))</f>
        <v/>
      </c>
      <c r="P281" s="13" t="str">
        <f aca="false">IF(O281="","",O281-IF(N281="",0,N281))</f>
        <v/>
      </c>
      <c r="Q281" s="14" t="str">
        <f aca="false">IFERROR(IF(P281="","",P281/K281),"")</f>
        <v/>
      </c>
      <c r="R281" s="6"/>
      <c r="S281" s="5"/>
      <c r="T281" s="15"/>
    </row>
    <row r="282" customFormat="false" ht="18" hidden="false" customHeight="true" outlineLevel="0" collapsed="false">
      <c r="A282" s="16" t="str">
        <f aca="false">IF(B282&lt;&gt;"",ROW()-2,"")</f>
        <v/>
      </c>
      <c r="B282" s="17"/>
      <c r="C282" s="17"/>
      <c r="D282" s="18"/>
      <c r="E282" s="19"/>
      <c r="F282" s="18"/>
      <c r="G282" s="20"/>
      <c r="H282" s="21"/>
      <c r="I282" s="21"/>
      <c r="J282" s="22"/>
      <c r="K282" s="23" t="str">
        <f aca="false">IF(H282*J282=0,"",H282*J282)</f>
        <v/>
      </c>
      <c r="L282" s="24"/>
      <c r="M282" s="24"/>
      <c r="N282" s="23" t="str">
        <f aca="false">IF(L282+M282=0,"",L282+M282)</f>
        <v/>
      </c>
      <c r="O282" s="25" t="str">
        <f aca="false">IF(OR(H282="",I282="",J282=""),"",IF(F282="Long",(I282-H282)*J282*IF(G282="",1,G282),(H282-I282)*J282*IF(G282="",1,G282)))</f>
        <v/>
      </c>
      <c r="P282" s="26" t="str">
        <f aca="false">IF(O282="","",O282-IF(N282="",0,N282))</f>
        <v/>
      </c>
      <c r="Q282" s="27" t="str">
        <f aca="false">IFERROR(IF(P282="","",P282/K282),"")</f>
        <v/>
      </c>
      <c r="R282" s="19"/>
      <c r="S282" s="18"/>
      <c r="T282" s="28"/>
    </row>
    <row r="283" customFormat="false" ht="18" hidden="false" customHeight="true" outlineLevel="0" collapsed="false">
      <c r="A283" s="3" t="str">
        <f aca="false">IF(B283&lt;&gt;"",ROW()-2,"")</f>
        <v/>
      </c>
      <c r="B283" s="4"/>
      <c r="C283" s="4"/>
      <c r="D283" s="5"/>
      <c r="E283" s="6"/>
      <c r="F283" s="5"/>
      <c r="G283" s="7"/>
      <c r="H283" s="8"/>
      <c r="I283" s="8"/>
      <c r="J283" s="9"/>
      <c r="K283" s="10" t="str">
        <f aca="false">IF(H283*J283=0,"",H283*J283)</f>
        <v/>
      </c>
      <c r="L283" s="11"/>
      <c r="M283" s="11"/>
      <c r="N283" s="10" t="str">
        <f aca="false">IF(L283+M283=0,"",L283+M283)</f>
        <v/>
      </c>
      <c r="O283" s="12" t="str">
        <f aca="false">IF(OR(H283="",I283="",J283=""),"",IF(F283="Long",(I283-H283)*J283*IF(G283="",1,G283),(H283-I283)*J283*IF(G283="",1,G283)))</f>
        <v/>
      </c>
      <c r="P283" s="13" t="str">
        <f aca="false">IF(O283="","",O283-IF(N283="",0,N283))</f>
        <v/>
      </c>
      <c r="Q283" s="14" t="str">
        <f aca="false">IFERROR(IF(P283="","",P283/K283),"")</f>
        <v/>
      </c>
      <c r="R283" s="6"/>
      <c r="S283" s="5"/>
      <c r="T283" s="15"/>
    </row>
    <row r="284" customFormat="false" ht="18" hidden="false" customHeight="true" outlineLevel="0" collapsed="false">
      <c r="A284" s="16" t="str">
        <f aca="false">IF(B284&lt;&gt;"",ROW()-2,"")</f>
        <v/>
      </c>
      <c r="B284" s="17"/>
      <c r="C284" s="17"/>
      <c r="D284" s="18"/>
      <c r="E284" s="19"/>
      <c r="F284" s="18"/>
      <c r="G284" s="20"/>
      <c r="H284" s="21"/>
      <c r="I284" s="21"/>
      <c r="J284" s="22"/>
      <c r="K284" s="23" t="str">
        <f aca="false">IF(H284*J284=0,"",H284*J284)</f>
        <v/>
      </c>
      <c r="L284" s="24"/>
      <c r="M284" s="24"/>
      <c r="N284" s="23" t="str">
        <f aca="false">IF(L284+M284=0,"",L284+M284)</f>
        <v/>
      </c>
      <c r="O284" s="25" t="str">
        <f aca="false">IF(OR(H284="",I284="",J284=""),"",IF(F284="Long",(I284-H284)*J284*IF(G284="",1,G284),(H284-I284)*J284*IF(G284="",1,G284)))</f>
        <v/>
      </c>
      <c r="P284" s="26" t="str">
        <f aca="false">IF(O284="","",O284-IF(N284="",0,N284))</f>
        <v/>
      </c>
      <c r="Q284" s="27" t="str">
        <f aca="false">IFERROR(IF(P284="","",P284/K284),"")</f>
        <v/>
      </c>
      <c r="R284" s="19"/>
      <c r="S284" s="18"/>
      <c r="T284" s="28"/>
    </row>
    <row r="285" customFormat="false" ht="18" hidden="false" customHeight="true" outlineLevel="0" collapsed="false">
      <c r="A285" s="3" t="str">
        <f aca="false">IF(B285&lt;&gt;"",ROW()-2,"")</f>
        <v/>
      </c>
      <c r="B285" s="4"/>
      <c r="C285" s="4"/>
      <c r="D285" s="5"/>
      <c r="E285" s="6"/>
      <c r="F285" s="5"/>
      <c r="G285" s="7"/>
      <c r="H285" s="8"/>
      <c r="I285" s="8"/>
      <c r="J285" s="9"/>
      <c r="K285" s="10" t="str">
        <f aca="false">IF(H285*J285=0,"",H285*J285)</f>
        <v/>
      </c>
      <c r="L285" s="11"/>
      <c r="M285" s="11"/>
      <c r="N285" s="10" t="str">
        <f aca="false">IF(L285+M285=0,"",L285+M285)</f>
        <v/>
      </c>
      <c r="O285" s="12" t="str">
        <f aca="false">IF(OR(H285="",I285="",J285=""),"",IF(F285="Long",(I285-H285)*J285*IF(G285="",1,G285),(H285-I285)*J285*IF(G285="",1,G285)))</f>
        <v/>
      </c>
      <c r="P285" s="13" t="str">
        <f aca="false">IF(O285="","",O285-IF(N285="",0,N285))</f>
        <v/>
      </c>
      <c r="Q285" s="14" t="str">
        <f aca="false">IFERROR(IF(P285="","",P285/K285),"")</f>
        <v/>
      </c>
      <c r="R285" s="6"/>
      <c r="S285" s="5"/>
      <c r="T285" s="15"/>
    </row>
    <row r="286" customFormat="false" ht="18" hidden="false" customHeight="true" outlineLevel="0" collapsed="false">
      <c r="A286" s="16" t="str">
        <f aca="false">IF(B286&lt;&gt;"",ROW()-2,"")</f>
        <v/>
      </c>
      <c r="B286" s="17"/>
      <c r="C286" s="17"/>
      <c r="D286" s="18"/>
      <c r="E286" s="19"/>
      <c r="F286" s="18"/>
      <c r="G286" s="20"/>
      <c r="H286" s="21"/>
      <c r="I286" s="21"/>
      <c r="J286" s="22"/>
      <c r="K286" s="23" t="str">
        <f aca="false">IF(H286*J286=0,"",H286*J286)</f>
        <v/>
      </c>
      <c r="L286" s="24"/>
      <c r="M286" s="24"/>
      <c r="N286" s="23" t="str">
        <f aca="false">IF(L286+M286=0,"",L286+M286)</f>
        <v/>
      </c>
      <c r="O286" s="25" t="str">
        <f aca="false">IF(OR(H286="",I286="",J286=""),"",IF(F286="Long",(I286-H286)*J286*IF(G286="",1,G286),(H286-I286)*J286*IF(G286="",1,G286)))</f>
        <v/>
      </c>
      <c r="P286" s="26" t="str">
        <f aca="false">IF(O286="","",O286-IF(N286="",0,N286))</f>
        <v/>
      </c>
      <c r="Q286" s="27" t="str">
        <f aca="false">IFERROR(IF(P286="","",P286/K286),"")</f>
        <v/>
      </c>
      <c r="R286" s="19"/>
      <c r="S286" s="18"/>
      <c r="T286" s="28"/>
    </row>
    <row r="287" customFormat="false" ht="18" hidden="false" customHeight="true" outlineLevel="0" collapsed="false">
      <c r="A287" s="3" t="str">
        <f aca="false">IF(B287&lt;&gt;"",ROW()-2,"")</f>
        <v/>
      </c>
      <c r="B287" s="4"/>
      <c r="C287" s="4"/>
      <c r="D287" s="5"/>
      <c r="E287" s="6"/>
      <c r="F287" s="5"/>
      <c r="G287" s="7"/>
      <c r="H287" s="8"/>
      <c r="I287" s="8"/>
      <c r="J287" s="9"/>
      <c r="K287" s="10" t="str">
        <f aca="false">IF(H287*J287=0,"",H287*J287)</f>
        <v/>
      </c>
      <c r="L287" s="11"/>
      <c r="M287" s="11"/>
      <c r="N287" s="10" t="str">
        <f aca="false">IF(L287+M287=0,"",L287+M287)</f>
        <v/>
      </c>
      <c r="O287" s="12" t="str">
        <f aca="false">IF(OR(H287="",I287="",J287=""),"",IF(F287="Long",(I287-H287)*J287*IF(G287="",1,G287),(H287-I287)*J287*IF(G287="",1,G287)))</f>
        <v/>
      </c>
      <c r="P287" s="13" t="str">
        <f aca="false">IF(O287="","",O287-IF(N287="",0,N287))</f>
        <v/>
      </c>
      <c r="Q287" s="14" t="str">
        <f aca="false">IFERROR(IF(P287="","",P287/K287),"")</f>
        <v/>
      </c>
      <c r="R287" s="6"/>
      <c r="S287" s="5"/>
      <c r="T287" s="15"/>
    </row>
    <row r="288" customFormat="false" ht="18" hidden="false" customHeight="true" outlineLevel="0" collapsed="false">
      <c r="A288" s="16" t="str">
        <f aca="false">IF(B288&lt;&gt;"",ROW()-2,"")</f>
        <v/>
      </c>
      <c r="B288" s="17"/>
      <c r="C288" s="17"/>
      <c r="D288" s="18"/>
      <c r="E288" s="19"/>
      <c r="F288" s="18"/>
      <c r="G288" s="20"/>
      <c r="H288" s="21"/>
      <c r="I288" s="21"/>
      <c r="J288" s="22"/>
      <c r="K288" s="23" t="str">
        <f aca="false">IF(H288*J288=0,"",H288*J288)</f>
        <v/>
      </c>
      <c r="L288" s="24"/>
      <c r="M288" s="24"/>
      <c r="N288" s="23" t="str">
        <f aca="false">IF(L288+M288=0,"",L288+M288)</f>
        <v/>
      </c>
      <c r="O288" s="25" t="str">
        <f aca="false">IF(OR(H288="",I288="",J288=""),"",IF(F288="Long",(I288-H288)*J288*IF(G288="",1,G288),(H288-I288)*J288*IF(G288="",1,G288)))</f>
        <v/>
      </c>
      <c r="P288" s="26" t="str">
        <f aca="false">IF(O288="","",O288-IF(N288="",0,N288))</f>
        <v/>
      </c>
      <c r="Q288" s="27" t="str">
        <f aca="false">IFERROR(IF(P288="","",P288/K288),"")</f>
        <v/>
      </c>
      <c r="R288" s="19"/>
      <c r="S288" s="18"/>
      <c r="T288" s="28"/>
    </row>
    <row r="289" customFormat="false" ht="18" hidden="false" customHeight="true" outlineLevel="0" collapsed="false">
      <c r="A289" s="3" t="str">
        <f aca="false">IF(B289&lt;&gt;"",ROW()-2,"")</f>
        <v/>
      </c>
      <c r="B289" s="4"/>
      <c r="C289" s="4"/>
      <c r="D289" s="5"/>
      <c r="E289" s="6"/>
      <c r="F289" s="5"/>
      <c r="G289" s="7"/>
      <c r="H289" s="8"/>
      <c r="I289" s="8"/>
      <c r="J289" s="9"/>
      <c r="K289" s="10" t="str">
        <f aca="false">IF(H289*J289=0,"",H289*J289)</f>
        <v/>
      </c>
      <c r="L289" s="11"/>
      <c r="M289" s="11"/>
      <c r="N289" s="10" t="str">
        <f aca="false">IF(L289+M289=0,"",L289+M289)</f>
        <v/>
      </c>
      <c r="O289" s="12" t="str">
        <f aca="false">IF(OR(H289="",I289="",J289=""),"",IF(F289="Long",(I289-H289)*J289*IF(G289="",1,G289),(H289-I289)*J289*IF(G289="",1,G289)))</f>
        <v/>
      </c>
      <c r="P289" s="13" t="str">
        <f aca="false">IF(O289="","",O289-IF(N289="",0,N289))</f>
        <v/>
      </c>
      <c r="Q289" s="14" t="str">
        <f aca="false">IFERROR(IF(P289="","",P289/K289),"")</f>
        <v/>
      </c>
      <c r="R289" s="6"/>
      <c r="S289" s="5"/>
      <c r="T289" s="15"/>
    </row>
    <row r="290" customFormat="false" ht="18" hidden="false" customHeight="true" outlineLevel="0" collapsed="false">
      <c r="A290" s="16" t="str">
        <f aca="false">IF(B290&lt;&gt;"",ROW()-2,"")</f>
        <v/>
      </c>
      <c r="B290" s="17"/>
      <c r="C290" s="17"/>
      <c r="D290" s="18"/>
      <c r="E290" s="19"/>
      <c r="F290" s="18"/>
      <c r="G290" s="20"/>
      <c r="H290" s="21"/>
      <c r="I290" s="21"/>
      <c r="J290" s="22"/>
      <c r="K290" s="23" t="str">
        <f aca="false">IF(H290*J290=0,"",H290*J290)</f>
        <v/>
      </c>
      <c r="L290" s="24"/>
      <c r="M290" s="24"/>
      <c r="N290" s="23" t="str">
        <f aca="false">IF(L290+M290=0,"",L290+M290)</f>
        <v/>
      </c>
      <c r="O290" s="25" t="str">
        <f aca="false">IF(OR(H290="",I290="",J290=""),"",IF(F290="Long",(I290-H290)*J290*IF(G290="",1,G290),(H290-I290)*J290*IF(G290="",1,G290)))</f>
        <v/>
      </c>
      <c r="P290" s="26" t="str">
        <f aca="false">IF(O290="","",O290-IF(N290="",0,N290))</f>
        <v/>
      </c>
      <c r="Q290" s="27" t="str">
        <f aca="false">IFERROR(IF(P290="","",P290/K290),"")</f>
        <v/>
      </c>
      <c r="R290" s="19"/>
      <c r="S290" s="18"/>
      <c r="T290" s="28"/>
    </row>
    <row r="291" customFormat="false" ht="18" hidden="false" customHeight="true" outlineLevel="0" collapsed="false">
      <c r="A291" s="3" t="str">
        <f aca="false">IF(B291&lt;&gt;"",ROW()-2,"")</f>
        <v/>
      </c>
      <c r="B291" s="4"/>
      <c r="C291" s="4"/>
      <c r="D291" s="5"/>
      <c r="E291" s="6"/>
      <c r="F291" s="5"/>
      <c r="G291" s="7"/>
      <c r="H291" s="8"/>
      <c r="I291" s="8"/>
      <c r="J291" s="9"/>
      <c r="K291" s="10" t="str">
        <f aca="false">IF(H291*J291=0,"",H291*J291)</f>
        <v/>
      </c>
      <c r="L291" s="11"/>
      <c r="M291" s="11"/>
      <c r="N291" s="10" t="str">
        <f aca="false">IF(L291+M291=0,"",L291+M291)</f>
        <v/>
      </c>
      <c r="O291" s="12" t="str">
        <f aca="false">IF(OR(H291="",I291="",J291=""),"",IF(F291="Long",(I291-H291)*J291*IF(G291="",1,G291),(H291-I291)*J291*IF(G291="",1,G291)))</f>
        <v/>
      </c>
      <c r="P291" s="13" t="str">
        <f aca="false">IF(O291="","",O291-IF(N291="",0,N291))</f>
        <v/>
      </c>
      <c r="Q291" s="14" t="str">
        <f aca="false">IFERROR(IF(P291="","",P291/K291),"")</f>
        <v/>
      </c>
      <c r="R291" s="6"/>
      <c r="S291" s="5"/>
      <c r="T291" s="15"/>
    </row>
    <row r="292" customFormat="false" ht="18" hidden="false" customHeight="true" outlineLevel="0" collapsed="false">
      <c r="A292" s="16" t="str">
        <f aca="false">IF(B292&lt;&gt;"",ROW()-2,"")</f>
        <v/>
      </c>
      <c r="B292" s="17"/>
      <c r="C292" s="17"/>
      <c r="D292" s="18"/>
      <c r="E292" s="19"/>
      <c r="F292" s="18"/>
      <c r="G292" s="20"/>
      <c r="H292" s="21"/>
      <c r="I292" s="21"/>
      <c r="J292" s="22"/>
      <c r="K292" s="23" t="str">
        <f aca="false">IF(H292*J292=0,"",H292*J292)</f>
        <v/>
      </c>
      <c r="L292" s="24"/>
      <c r="M292" s="24"/>
      <c r="N292" s="23" t="str">
        <f aca="false">IF(L292+M292=0,"",L292+M292)</f>
        <v/>
      </c>
      <c r="O292" s="25" t="str">
        <f aca="false">IF(OR(H292="",I292="",J292=""),"",IF(F292="Long",(I292-H292)*J292*IF(G292="",1,G292),(H292-I292)*J292*IF(G292="",1,G292)))</f>
        <v/>
      </c>
      <c r="P292" s="26" t="str">
        <f aca="false">IF(O292="","",O292-IF(N292="",0,N292))</f>
        <v/>
      </c>
      <c r="Q292" s="27" t="str">
        <f aca="false">IFERROR(IF(P292="","",P292/K292),"")</f>
        <v/>
      </c>
      <c r="R292" s="19"/>
      <c r="S292" s="18"/>
      <c r="T292" s="28"/>
    </row>
    <row r="293" customFormat="false" ht="18" hidden="false" customHeight="true" outlineLevel="0" collapsed="false">
      <c r="A293" s="3" t="str">
        <f aca="false">IF(B293&lt;&gt;"",ROW()-2,"")</f>
        <v/>
      </c>
      <c r="B293" s="4"/>
      <c r="C293" s="4"/>
      <c r="D293" s="5"/>
      <c r="E293" s="6"/>
      <c r="F293" s="5"/>
      <c r="G293" s="7"/>
      <c r="H293" s="8"/>
      <c r="I293" s="8"/>
      <c r="J293" s="9"/>
      <c r="K293" s="10" t="str">
        <f aca="false">IF(H293*J293=0,"",H293*J293)</f>
        <v/>
      </c>
      <c r="L293" s="11"/>
      <c r="M293" s="11"/>
      <c r="N293" s="10" t="str">
        <f aca="false">IF(L293+M293=0,"",L293+M293)</f>
        <v/>
      </c>
      <c r="O293" s="12" t="str">
        <f aca="false">IF(OR(H293="",I293="",J293=""),"",IF(F293="Long",(I293-H293)*J293*IF(G293="",1,G293),(H293-I293)*J293*IF(G293="",1,G293)))</f>
        <v/>
      </c>
      <c r="P293" s="13" t="str">
        <f aca="false">IF(O293="","",O293-IF(N293="",0,N293))</f>
        <v/>
      </c>
      <c r="Q293" s="14" t="str">
        <f aca="false">IFERROR(IF(P293="","",P293/K293),"")</f>
        <v/>
      </c>
      <c r="R293" s="6"/>
      <c r="S293" s="5"/>
      <c r="T293" s="15"/>
    </row>
    <row r="294" customFormat="false" ht="18" hidden="false" customHeight="true" outlineLevel="0" collapsed="false">
      <c r="A294" s="16" t="str">
        <f aca="false">IF(B294&lt;&gt;"",ROW()-2,"")</f>
        <v/>
      </c>
      <c r="B294" s="17"/>
      <c r="C294" s="17"/>
      <c r="D294" s="18"/>
      <c r="E294" s="19"/>
      <c r="F294" s="18"/>
      <c r="G294" s="20"/>
      <c r="H294" s="21"/>
      <c r="I294" s="21"/>
      <c r="J294" s="22"/>
      <c r="K294" s="23" t="str">
        <f aca="false">IF(H294*J294=0,"",H294*J294)</f>
        <v/>
      </c>
      <c r="L294" s="24"/>
      <c r="M294" s="24"/>
      <c r="N294" s="23" t="str">
        <f aca="false">IF(L294+M294=0,"",L294+M294)</f>
        <v/>
      </c>
      <c r="O294" s="25" t="str">
        <f aca="false">IF(OR(H294="",I294="",J294=""),"",IF(F294="Long",(I294-H294)*J294*IF(G294="",1,G294),(H294-I294)*J294*IF(G294="",1,G294)))</f>
        <v/>
      </c>
      <c r="P294" s="26" t="str">
        <f aca="false">IF(O294="","",O294-IF(N294="",0,N294))</f>
        <v/>
      </c>
      <c r="Q294" s="27" t="str">
        <f aca="false">IFERROR(IF(P294="","",P294/K294),"")</f>
        <v/>
      </c>
      <c r="R294" s="19"/>
      <c r="S294" s="18"/>
      <c r="T294" s="28"/>
    </row>
    <row r="295" customFormat="false" ht="18" hidden="false" customHeight="true" outlineLevel="0" collapsed="false">
      <c r="A295" s="3" t="str">
        <f aca="false">IF(B295&lt;&gt;"",ROW()-2,"")</f>
        <v/>
      </c>
      <c r="B295" s="4"/>
      <c r="C295" s="4"/>
      <c r="D295" s="5"/>
      <c r="E295" s="6"/>
      <c r="F295" s="5"/>
      <c r="G295" s="7"/>
      <c r="H295" s="8"/>
      <c r="I295" s="8"/>
      <c r="J295" s="9"/>
      <c r="K295" s="10" t="str">
        <f aca="false">IF(H295*J295=0,"",H295*J295)</f>
        <v/>
      </c>
      <c r="L295" s="11"/>
      <c r="M295" s="11"/>
      <c r="N295" s="10" t="str">
        <f aca="false">IF(L295+M295=0,"",L295+M295)</f>
        <v/>
      </c>
      <c r="O295" s="12" t="str">
        <f aca="false">IF(OR(H295="",I295="",J295=""),"",IF(F295="Long",(I295-H295)*J295*IF(G295="",1,G295),(H295-I295)*J295*IF(G295="",1,G295)))</f>
        <v/>
      </c>
      <c r="P295" s="13" t="str">
        <f aca="false">IF(O295="","",O295-IF(N295="",0,N295))</f>
        <v/>
      </c>
      <c r="Q295" s="14" t="str">
        <f aca="false">IFERROR(IF(P295="","",P295/K295),"")</f>
        <v/>
      </c>
      <c r="R295" s="6"/>
      <c r="S295" s="5"/>
      <c r="T295" s="15"/>
    </row>
    <row r="296" customFormat="false" ht="18" hidden="false" customHeight="true" outlineLevel="0" collapsed="false">
      <c r="A296" s="16" t="str">
        <f aca="false">IF(B296&lt;&gt;"",ROW()-2,"")</f>
        <v/>
      </c>
      <c r="B296" s="17"/>
      <c r="C296" s="17"/>
      <c r="D296" s="18"/>
      <c r="E296" s="19"/>
      <c r="F296" s="18"/>
      <c r="G296" s="20"/>
      <c r="H296" s="21"/>
      <c r="I296" s="21"/>
      <c r="J296" s="22"/>
      <c r="K296" s="23" t="str">
        <f aca="false">IF(H296*J296=0,"",H296*J296)</f>
        <v/>
      </c>
      <c r="L296" s="24"/>
      <c r="M296" s="24"/>
      <c r="N296" s="23" t="str">
        <f aca="false">IF(L296+M296=0,"",L296+M296)</f>
        <v/>
      </c>
      <c r="O296" s="25" t="str">
        <f aca="false">IF(OR(H296="",I296="",J296=""),"",IF(F296="Long",(I296-H296)*J296*IF(G296="",1,G296),(H296-I296)*J296*IF(G296="",1,G296)))</f>
        <v/>
      </c>
      <c r="P296" s="26" t="str">
        <f aca="false">IF(O296="","",O296-IF(N296="",0,N296))</f>
        <v/>
      </c>
      <c r="Q296" s="27" t="str">
        <f aca="false">IFERROR(IF(P296="","",P296/K296),"")</f>
        <v/>
      </c>
      <c r="R296" s="19"/>
      <c r="S296" s="18"/>
      <c r="T296" s="28"/>
    </row>
    <row r="297" customFormat="false" ht="18" hidden="false" customHeight="true" outlineLevel="0" collapsed="false">
      <c r="A297" s="3" t="str">
        <f aca="false">IF(B297&lt;&gt;"",ROW()-2,"")</f>
        <v/>
      </c>
      <c r="B297" s="4"/>
      <c r="C297" s="4"/>
      <c r="D297" s="5"/>
      <c r="E297" s="6"/>
      <c r="F297" s="5"/>
      <c r="G297" s="7"/>
      <c r="H297" s="8"/>
      <c r="I297" s="8"/>
      <c r="J297" s="9"/>
      <c r="K297" s="10" t="str">
        <f aca="false">IF(H297*J297=0,"",H297*J297)</f>
        <v/>
      </c>
      <c r="L297" s="11"/>
      <c r="M297" s="11"/>
      <c r="N297" s="10" t="str">
        <f aca="false">IF(L297+M297=0,"",L297+M297)</f>
        <v/>
      </c>
      <c r="O297" s="12" t="str">
        <f aca="false">IF(OR(H297="",I297="",J297=""),"",IF(F297="Long",(I297-H297)*J297*IF(G297="",1,G297),(H297-I297)*J297*IF(G297="",1,G297)))</f>
        <v/>
      </c>
      <c r="P297" s="13" t="str">
        <f aca="false">IF(O297="","",O297-IF(N297="",0,N297))</f>
        <v/>
      </c>
      <c r="Q297" s="14" t="str">
        <f aca="false">IFERROR(IF(P297="","",P297/K297),"")</f>
        <v/>
      </c>
      <c r="R297" s="6"/>
      <c r="S297" s="5"/>
      <c r="T297" s="15"/>
    </row>
    <row r="298" customFormat="false" ht="18" hidden="false" customHeight="true" outlineLevel="0" collapsed="false">
      <c r="A298" s="16" t="str">
        <f aca="false">IF(B298&lt;&gt;"",ROW()-2,"")</f>
        <v/>
      </c>
      <c r="B298" s="17"/>
      <c r="C298" s="17"/>
      <c r="D298" s="18"/>
      <c r="E298" s="19"/>
      <c r="F298" s="18"/>
      <c r="G298" s="20"/>
      <c r="H298" s="21"/>
      <c r="I298" s="21"/>
      <c r="J298" s="22"/>
      <c r="K298" s="23" t="str">
        <f aca="false">IF(H298*J298=0,"",H298*J298)</f>
        <v/>
      </c>
      <c r="L298" s="24"/>
      <c r="M298" s="24"/>
      <c r="N298" s="23" t="str">
        <f aca="false">IF(L298+M298=0,"",L298+M298)</f>
        <v/>
      </c>
      <c r="O298" s="25" t="str">
        <f aca="false">IF(OR(H298="",I298="",J298=""),"",IF(F298="Long",(I298-H298)*J298*IF(G298="",1,G298),(H298-I298)*J298*IF(G298="",1,G298)))</f>
        <v/>
      </c>
      <c r="P298" s="26" t="str">
        <f aca="false">IF(O298="","",O298-IF(N298="",0,N298))</f>
        <v/>
      </c>
      <c r="Q298" s="27" t="str">
        <f aca="false">IFERROR(IF(P298="","",P298/K298),"")</f>
        <v/>
      </c>
      <c r="R298" s="19"/>
      <c r="S298" s="18"/>
      <c r="T298" s="28"/>
    </row>
    <row r="299" customFormat="false" ht="18" hidden="false" customHeight="true" outlineLevel="0" collapsed="false">
      <c r="A299" s="3" t="str">
        <f aca="false">IF(B299&lt;&gt;"",ROW()-2,"")</f>
        <v/>
      </c>
      <c r="B299" s="4"/>
      <c r="C299" s="4"/>
      <c r="D299" s="5"/>
      <c r="E299" s="6"/>
      <c r="F299" s="5"/>
      <c r="G299" s="7"/>
      <c r="H299" s="8"/>
      <c r="I299" s="8"/>
      <c r="J299" s="9"/>
      <c r="K299" s="10" t="str">
        <f aca="false">IF(H299*J299=0,"",H299*J299)</f>
        <v/>
      </c>
      <c r="L299" s="11"/>
      <c r="M299" s="11"/>
      <c r="N299" s="10" t="str">
        <f aca="false">IF(L299+M299=0,"",L299+M299)</f>
        <v/>
      </c>
      <c r="O299" s="12" t="str">
        <f aca="false">IF(OR(H299="",I299="",J299=""),"",IF(F299="Long",(I299-H299)*J299*IF(G299="",1,G299),(H299-I299)*J299*IF(G299="",1,G299)))</f>
        <v/>
      </c>
      <c r="P299" s="13" t="str">
        <f aca="false">IF(O299="","",O299-IF(N299="",0,N299))</f>
        <v/>
      </c>
      <c r="Q299" s="14" t="str">
        <f aca="false">IFERROR(IF(P299="","",P299/K299),"")</f>
        <v/>
      </c>
      <c r="R299" s="6"/>
      <c r="S299" s="5"/>
      <c r="T299" s="15"/>
    </row>
    <row r="300" customFormat="false" ht="18" hidden="false" customHeight="true" outlineLevel="0" collapsed="false">
      <c r="A300" s="16" t="str">
        <f aca="false">IF(B300&lt;&gt;"",ROW()-2,"")</f>
        <v/>
      </c>
      <c r="B300" s="17"/>
      <c r="C300" s="17"/>
      <c r="D300" s="18"/>
      <c r="E300" s="19"/>
      <c r="F300" s="18"/>
      <c r="G300" s="20"/>
      <c r="H300" s="21"/>
      <c r="I300" s="21"/>
      <c r="J300" s="22"/>
      <c r="K300" s="23" t="str">
        <f aca="false">IF(H300*J300=0,"",H300*J300)</f>
        <v/>
      </c>
      <c r="L300" s="24"/>
      <c r="M300" s="24"/>
      <c r="N300" s="23" t="str">
        <f aca="false">IF(L300+M300=0,"",L300+M300)</f>
        <v/>
      </c>
      <c r="O300" s="25" t="str">
        <f aca="false">IF(OR(H300="",I300="",J300=""),"",IF(F300="Long",(I300-H300)*J300*IF(G300="",1,G300),(H300-I300)*J300*IF(G300="",1,G300)))</f>
        <v/>
      </c>
      <c r="P300" s="26" t="str">
        <f aca="false">IF(O300="","",O300-IF(N300="",0,N300))</f>
        <v/>
      </c>
      <c r="Q300" s="27" t="str">
        <f aca="false">IFERROR(IF(P300="","",P300/K300),"")</f>
        <v/>
      </c>
      <c r="R300" s="19"/>
      <c r="S300" s="18"/>
      <c r="T300" s="28"/>
    </row>
    <row r="301" customFormat="false" ht="18" hidden="false" customHeight="true" outlineLevel="0" collapsed="false">
      <c r="A301" s="3" t="str">
        <f aca="false">IF(B301&lt;&gt;"",ROW()-2,"")</f>
        <v/>
      </c>
      <c r="B301" s="4"/>
      <c r="C301" s="4"/>
      <c r="D301" s="5"/>
      <c r="E301" s="6"/>
      <c r="F301" s="5"/>
      <c r="G301" s="7"/>
      <c r="H301" s="8"/>
      <c r="I301" s="8"/>
      <c r="J301" s="9"/>
      <c r="K301" s="10" t="str">
        <f aca="false">IF(H301*J301=0,"",H301*J301)</f>
        <v/>
      </c>
      <c r="L301" s="11"/>
      <c r="M301" s="11"/>
      <c r="N301" s="10" t="str">
        <f aca="false">IF(L301+M301=0,"",L301+M301)</f>
        <v/>
      </c>
      <c r="O301" s="12" t="str">
        <f aca="false">IF(OR(H301="",I301="",J301=""),"",IF(F301="Long",(I301-H301)*J301*IF(G301="",1,G301),(H301-I301)*J301*IF(G301="",1,G301)))</f>
        <v/>
      </c>
      <c r="P301" s="13" t="str">
        <f aca="false">IF(O301="","",O301-IF(N301="",0,N301))</f>
        <v/>
      </c>
      <c r="Q301" s="14" t="str">
        <f aca="false">IFERROR(IF(P301="","",P301/K301),"")</f>
        <v/>
      </c>
      <c r="R301" s="6"/>
      <c r="S301" s="5"/>
      <c r="T301" s="15"/>
    </row>
    <row r="302" customFormat="false" ht="18" hidden="false" customHeight="true" outlineLevel="0" collapsed="false">
      <c r="A302" s="16" t="str">
        <f aca="false">IF(B302&lt;&gt;"",ROW()-2,"")</f>
        <v/>
      </c>
      <c r="B302" s="17"/>
      <c r="C302" s="17"/>
      <c r="D302" s="18"/>
      <c r="E302" s="19"/>
      <c r="F302" s="18"/>
      <c r="G302" s="20"/>
      <c r="H302" s="21"/>
      <c r="I302" s="21"/>
      <c r="J302" s="22"/>
      <c r="K302" s="23" t="str">
        <f aca="false">IF(H302*J302=0,"",H302*J302)</f>
        <v/>
      </c>
      <c r="L302" s="24"/>
      <c r="M302" s="24"/>
      <c r="N302" s="23" t="str">
        <f aca="false">IF(L302+M302=0,"",L302+M302)</f>
        <v/>
      </c>
      <c r="O302" s="25" t="str">
        <f aca="false">IF(OR(H302="",I302="",J302=""),"",IF(F302="Long",(I302-H302)*J302*IF(G302="",1,G302),(H302-I302)*J302*IF(G302="",1,G302)))</f>
        <v/>
      </c>
      <c r="P302" s="26" t="str">
        <f aca="false">IF(O302="","",O302-IF(N302="",0,N302))</f>
        <v/>
      </c>
      <c r="Q302" s="27" t="str">
        <f aca="false">IFERROR(IF(P302="","",P302/K302),"")</f>
        <v/>
      </c>
      <c r="R302" s="19"/>
      <c r="S302" s="18"/>
      <c r="T302" s="28"/>
    </row>
    <row r="303" customFormat="false" ht="18" hidden="false" customHeight="true" outlineLevel="0" collapsed="false">
      <c r="A303" s="3" t="str">
        <f aca="false">IF(B303&lt;&gt;"",ROW()-2,"")</f>
        <v/>
      </c>
      <c r="B303" s="4"/>
      <c r="C303" s="4"/>
      <c r="D303" s="5"/>
      <c r="E303" s="6"/>
      <c r="F303" s="5"/>
      <c r="G303" s="7"/>
      <c r="H303" s="8"/>
      <c r="I303" s="8"/>
      <c r="J303" s="9"/>
      <c r="K303" s="10" t="str">
        <f aca="false">IF(H303*J303=0,"",H303*J303)</f>
        <v/>
      </c>
      <c r="L303" s="11"/>
      <c r="M303" s="11"/>
      <c r="N303" s="10" t="str">
        <f aca="false">IF(L303+M303=0,"",L303+M303)</f>
        <v/>
      </c>
      <c r="O303" s="12" t="str">
        <f aca="false">IF(OR(H303="",I303="",J303=""),"",IF(F303="Long",(I303-H303)*J303*IF(G303="",1,G303),(H303-I303)*J303*IF(G303="",1,G303)))</f>
        <v/>
      </c>
      <c r="P303" s="13" t="str">
        <f aca="false">IF(O303="","",O303-IF(N303="",0,N303))</f>
        <v/>
      </c>
      <c r="Q303" s="14" t="str">
        <f aca="false">IFERROR(IF(P303="","",P303/K303),"")</f>
        <v/>
      </c>
      <c r="R303" s="6"/>
      <c r="S303" s="5"/>
      <c r="T303" s="15"/>
    </row>
    <row r="304" customFormat="false" ht="18" hidden="false" customHeight="true" outlineLevel="0" collapsed="false">
      <c r="A304" s="16" t="str">
        <f aca="false">IF(B304&lt;&gt;"",ROW()-2,"")</f>
        <v/>
      </c>
      <c r="B304" s="17"/>
      <c r="C304" s="17"/>
      <c r="D304" s="18"/>
      <c r="E304" s="19"/>
      <c r="F304" s="18"/>
      <c r="G304" s="20"/>
      <c r="H304" s="21"/>
      <c r="I304" s="21"/>
      <c r="J304" s="22"/>
      <c r="K304" s="23" t="str">
        <f aca="false">IF(H304*J304=0,"",H304*J304)</f>
        <v/>
      </c>
      <c r="L304" s="24"/>
      <c r="M304" s="24"/>
      <c r="N304" s="23" t="str">
        <f aca="false">IF(L304+M304=0,"",L304+M304)</f>
        <v/>
      </c>
      <c r="O304" s="25" t="str">
        <f aca="false">IF(OR(H304="",I304="",J304=""),"",IF(F304="Long",(I304-H304)*J304*IF(G304="",1,G304),(H304-I304)*J304*IF(G304="",1,G304)))</f>
        <v/>
      </c>
      <c r="P304" s="26" t="str">
        <f aca="false">IF(O304="","",O304-IF(N304="",0,N304))</f>
        <v/>
      </c>
      <c r="Q304" s="27" t="str">
        <f aca="false">IFERROR(IF(P304="","",P304/K304),"")</f>
        <v/>
      </c>
      <c r="R304" s="19"/>
      <c r="S304" s="18"/>
      <c r="T304" s="28"/>
    </row>
    <row r="305" customFormat="false" ht="18" hidden="false" customHeight="true" outlineLevel="0" collapsed="false">
      <c r="A305" s="3" t="str">
        <f aca="false">IF(B305&lt;&gt;"",ROW()-2,"")</f>
        <v/>
      </c>
      <c r="B305" s="4"/>
      <c r="C305" s="4"/>
      <c r="D305" s="5"/>
      <c r="E305" s="6"/>
      <c r="F305" s="5"/>
      <c r="G305" s="7"/>
      <c r="H305" s="8"/>
      <c r="I305" s="8"/>
      <c r="J305" s="9"/>
      <c r="K305" s="10" t="str">
        <f aca="false">IF(H305*J305=0,"",H305*J305)</f>
        <v/>
      </c>
      <c r="L305" s="11"/>
      <c r="M305" s="11"/>
      <c r="N305" s="10" t="str">
        <f aca="false">IF(L305+M305=0,"",L305+M305)</f>
        <v/>
      </c>
      <c r="O305" s="12" t="str">
        <f aca="false">IF(OR(H305="",I305="",J305=""),"",IF(F305="Long",(I305-H305)*J305*IF(G305="",1,G305),(H305-I305)*J305*IF(G305="",1,G305)))</f>
        <v/>
      </c>
      <c r="P305" s="13" t="str">
        <f aca="false">IF(O305="","",O305-IF(N305="",0,N305))</f>
        <v/>
      </c>
      <c r="Q305" s="14" t="str">
        <f aca="false">IFERROR(IF(P305="","",P305/K305),"")</f>
        <v/>
      </c>
      <c r="R305" s="6"/>
      <c r="S305" s="5"/>
      <c r="T305" s="15"/>
    </row>
    <row r="306" customFormat="false" ht="18" hidden="false" customHeight="true" outlineLevel="0" collapsed="false">
      <c r="A306" s="16" t="str">
        <f aca="false">IF(B306&lt;&gt;"",ROW()-2,"")</f>
        <v/>
      </c>
      <c r="B306" s="17"/>
      <c r="C306" s="17"/>
      <c r="D306" s="18"/>
      <c r="E306" s="19"/>
      <c r="F306" s="18"/>
      <c r="G306" s="20"/>
      <c r="H306" s="21"/>
      <c r="I306" s="21"/>
      <c r="J306" s="22"/>
      <c r="K306" s="23" t="str">
        <f aca="false">IF(H306*J306=0,"",H306*J306)</f>
        <v/>
      </c>
      <c r="L306" s="24"/>
      <c r="M306" s="24"/>
      <c r="N306" s="23" t="str">
        <f aca="false">IF(L306+M306=0,"",L306+M306)</f>
        <v/>
      </c>
      <c r="O306" s="25" t="str">
        <f aca="false">IF(OR(H306="",I306="",J306=""),"",IF(F306="Long",(I306-H306)*J306*IF(G306="",1,G306),(H306-I306)*J306*IF(G306="",1,G306)))</f>
        <v/>
      </c>
      <c r="P306" s="26" t="str">
        <f aca="false">IF(O306="","",O306-IF(N306="",0,N306))</f>
        <v/>
      </c>
      <c r="Q306" s="27" t="str">
        <f aca="false">IFERROR(IF(P306="","",P306/K306),"")</f>
        <v/>
      </c>
      <c r="R306" s="19"/>
      <c r="S306" s="18"/>
      <c r="T306" s="28"/>
    </row>
    <row r="307" customFormat="false" ht="18" hidden="false" customHeight="true" outlineLevel="0" collapsed="false">
      <c r="A307" s="3" t="str">
        <f aca="false">IF(B307&lt;&gt;"",ROW()-2,"")</f>
        <v/>
      </c>
      <c r="B307" s="4"/>
      <c r="C307" s="4"/>
      <c r="D307" s="5"/>
      <c r="E307" s="6"/>
      <c r="F307" s="5"/>
      <c r="G307" s="7"/>
      <c r="H307" s="8"/>
      <c r="I307" s="8"/>
      <c r="J307" s="9"/>
      <c r="K307" s="10" t="str">
        <f aca="false">IF(H307*J307=0,"",H307*J307)</f>
        <v/>
      </c>
      <c r="L307" s="11"/>
      <c r="M307" s="11"/>
      <c r="N307" s="10" t="str">
        <f aca="false">IF(L307+M307=0,"",L307+M307)</f>
        <v/>
      </c>
      <c r="O307" s="12" t="str">
        <f aca="false">IF(OR(H307="",I307="",J307=""),"",IF(F307="Long",(I307-H307)*J307*IF(G307="",1,G307),(H307-I307)*J307*IF(G307="",1,G307)))</f>
        <v/>
      </c>
      <c r="P307" s="13" t="str">
        <f aca="false">IF(O307="","",O307-IF(N307="",0,N307))</f>
        <v/>
      </c>
      <c r="Q307" s="14" t="str">
        <f aca="false">IFERROR(IF(P307="","",P307/K307),"")</f>
        <v/>
      </c>
      <c r="R307" s="6"/>
      <c r="S307" s="5"/>
      <c r="T307" s="15"/>
    </row>
    <row r="308" customFormat="false" ht="18" hidden="false" customHeight="true" outlineLevel="0" collapsed="false">
      <c r="A308" s="16" t="str">
        <f aca="false">IF(B308&lt;&gt;"",ROW()-2,"")</f>
        <v/>
      </c>
      <c r="B308" s="17"/>
      <c r="C308" s="17"/>
      <c r="D308" s="18"/>
      <c r="E308" s="19"/>
      <c r="F308" s="18"/>
      <c r="G308" s="20"/>
      <c r="H308" s="21"/>
      <c r="I308" s="21"/>
      <c r="J308" s="22"/>
      <c r="K308" s="23" t="str">
        <f aca="false">IF(H308*J308=0,"",H308*J308)</f>
        <v/>
      </c>
      <c r="L308" s="24"/>
      <c r="M308" s="24"/>
      <c r="N308" s="23" t="str">
        <f aca="false">IF(L308+M308=0,"",L308+M308)</f>
        <v/>
      </c>
      <c r="O308" s="25" t="str">
        <f aca="false">IF(OR(H308="",I308="",J308=""),"",IF(F308="Long",(I308-H308)*J308*IF(G308="",1,G308),(H308-I308)*J308*IF(G308="",1,G308)))</f>
        <v/>
      </c>
      <c r="P308" s="26" t="str">
        <f aca="false">IF(O308="","",O308-IF(N308="",0,N308))</f>
        <v/>
      </c>
      <c r="Q308" s="27" t="str">
        <f aca="false">IFERROR(IF(P308="","",P308/K308),"")</f>
        <v/>
      </c>
      <c r="R308" s="19"/>
      <c r="S308" s="18"/>
      <c r="T308" s="28"/>
    </row>
    <row r="309" customFormat="false" ht="18" hidden="false" customHeight="true" outlineLevel="0" collapsed="false">
      <c r="A309" s="3" t="str">
        <f aca="false">IF(B309&lt;&gt;"",ROW()-2,"")</f>
        <v/>
      </c>
      <c r="B309" s="4"/>
      <c r="C309" s="4"/>
      <c r="D309" s="5"/>
      <c r="E309" s="6"/>
      <c r="F309" s="5"/>
      <c r="G309" s="7"/>
      <c r="H309" s="8"/>
      <c r="I309" s="8"/>
      <c r="J309" s="9"/>
      <c r="K309" s="10" t="str">
        <f aca="false">IF(H309*J309=0,"",H309*J309)</f>
        <v/>
      </c>
      <c r="L309" s="11"/>
      <c r="M309" s="11"/>
      <c r="N309" s="10" t="str">
        <f aca="false">IF(L309+M309=0,"",L309+M309)</f>
        <v/>
      </c>
      <c r="O309" s="12" t="str">
        <f aca="false">IF(OR(H309="",I309="",J309=""),"",IF(F309="Long",(I309-H309)*J309*IF(G309="",1,G309),(H309-I309)*J309*IF(G309="",1,G309)))</f>
        <v/>
      </c>
      <c r="P309" s="13" t="str">
        <f aca="false">IF(O309="","",O309-IF(N309="",0,N309))</f>
        <v/>
      </c>
      <c r="Q309" s="14" t="str">
        <f aca="false">IFERROR(IF(P309="","",P309/K309),"")</f>
        <v/>
      </c>
      <c r="R309" s="6"/>
      <c r="S309" s="5"/>
      <c r="T309" s="15"/>
    </row>
    <row r="310" customFormat="false" ht="18" hidden="false" customHeight="true" outlineLevel="0" collapsed="false">
      <c r="A310" s="16" t="str">
        <f aca="false">IF(B310&lt;&gt;"",ROW()-2,"")</f>
        <v/>
      </c>
      <c r="B310" s="17"/>
      <c r="C310" s="17"/>
      <c r="D310" s="18"/>
      <c r="E310" s="19"/>
      <c r="F310" s="18"/>
      <c r="G310" s="20"/>
      <c r="H310" s="21"/>
      <c r="I310" s="21"/>
      <c r="J310" s="22"/>
      <c r="K310" s="23" t="str">
        <f aca="false">IF(H310*J310=0,"",H310*J310)</f>
        <v/>
      </c>
      <c r="L310" s="24"/>
      <c r="M310" s="24"/>
      <c r="N310" s="23" t="str">
        <f aca="false">IF(L310+M310=0,"",L310+M310)</f>
        <v/>
      </c>
      <c r="O310" s="25" t="str">
        <f aca="false">IF(OR(H310="",I310="",J310=""),"",IF(F310="Long",(I310-H310)*J310*IF(G310="",1,G310),(H310-I310)*J310*IF(G310="",1,G310)))</f>
        <v/>
      </c>
      <c r="P310" s="26" t="str">
        <f aca="false">IF(O310="","",O310-IF(N310="",0,N310))</f>
        <v/>
      </c>
      <c r="Q310" s="27" t="str">
        <f aca="false">IFERROR(IF(P310="","",P310/K310),"")</f>
        <v/>
      </c>
      <c r="R310" s="19"/>
      <c r="S310" s="18"/>
      <c r="T310" s="28"/>
    </row>
    <row r="311" customFormat="false" ht="18" hidden="false" customHeight="true" outlineLevel="0" collapsed="false">
      <c r="A311" s="3" t="str">
        <f aca="false">IF(B311&lt;&gt;"",ROW()-2,"")</f>
        <v/>
      </c>
      <c r="B311" s="4"/>
      <c r="C311" s="4"/>
      <c r="D311" s="5"/>
      <c r="E311" s="6"/>
      <c r="F311" s="5"/>
      <c r="G311" s="7"/>
      <c r="H311" s="8"/>
      <c r="I311" s="8"/>
      <c r="J311" s="9"/>
      <c r="K311" s="10" t="str">
        <f aca="false">IF(H311*J311=0,"",H311*J311)</f>
        <v/>
      </c>
      <c r="L311" s="11"/>
      <c r="M311" s="11"/>
      <c r="N311" s="10" t="str">
        <f aca="false">IF(L311+M311=0,"",L311+M311)</f>
        <v/>
      </c>
      <c r="O311" s="12" t="str">
        <f aca="false">IF(OR(H311="",I311="",J311=""),"",IF(F311="Long",(I311-H311)*J311*IF(G311="",1,G311),(H311-I311)*J311*IF(G311="",1,G311)))</f>
        <v/>
      </c>
      <c r="P311" s="13" t="str">
        <f aca="false">IF(O311="","",O311-IF(N311="",0,N311))</f>
        <v/>
      </c>
      <c r="Q311" s="14" t="str">
        <f aca="false">IFERROR(IF(P311="","",P311/K311),"")</f>
        <v/>
      </c>
      <c r="R311" s="6"/>
      <c r="S311" s="5"/>
      <c r="T311" s="15"/>
    </row>
    <row r="312" customFormat="false" ht="18" hidden="false" customHeight="true" outlineLevel="0" collapsed="false">
      <c r="A312" s="16" t="str">
        <f aca="false">IF(B312&lt;&gt;"",ROW()-2,"")</f>
        <v/>
      </c>
      <c r="B312" s="17"/>
      <c r="C312" s="17"/>
      <c r="D312" s="18"/>
      <c r="E312" s="19"/>
      <c r="F312" s="18"/>
      <c r="G312" s="20"/>
      <c r="H312" s="21"/>
      <c r="I312" s="21"/>
      <c r="J312" s="22"/>
      <c r="K312" s="23" t="str">
        <f aca="false">IF(H312*J312=0,"",H312*J312)</f>
        <v/>
      </c>
      <c r="L312" s="24"/>
      <c r="M312" s="24"/>
      <c r="N312" s="23" t="str">
        <f aca="false">IF(L312+M312=0,"",L312+M312)</f>
        <v/>
      </c>
      <c r="O312" s="25" t="str">
        <f aca="false">IF(OR(H312="",I312="",J312=""),"",IF(F312="Long",(I312-H312)*J312*IF(G312="",1,G312),(H312-I312)*J312*IF(G312="",1,G312)))</f>
        <v/>
      </c>
      <c r="P312" s="26" t="str">
        <f aca="false">IF(O312="","",O312-IF(N312="",0,N312))</f>
        <v/>
      </c>
      <c r="Q312" s="27" t="str">
        <f aca="false">IFERROR(IF(P312="","",P312/K312),"")</f>
        <v/>
      </c>
      <c r="R312" s="19"/>
      <c r="S312" s="18"/>
      <c r="T312" s="28"/>
    </row>
    <row r="313" customFormat="false" ht="18" hidden="false" customHeight="true" outlineLevel="0" collapsed="false">
      <c r="A313" s="3" t="str">
        <f aca="false">IF(B313&lt;&gt;"",ROW()-2,"")</f>
        <v/>
      </c>
      <c r="B313" s="4"/>
      <c r="C313" s="4"/>
      <c r="D313" s="5"/>
      <c r="E313" s="6"/>
      <c r="F313" s="5"/>
      <c r="G313" s="7"/>
      <c r="H313" s="8"/>
      <c r="I313" s="8"/>
      <c r="J313" s="9"/>
      <c r="K313" s="10" t="str">
        <f aca="false">IF(H313*J313=0,"",H313*J313)</f>
        <v/>
      </c>
      <c r="L313" s="11"/>
      <c r="M313" s="11"/>
      <c r="N313" s="10" t="str">
        <f aca="false">IF(L313+M313=0,"",L313+M313)</f>
        <v/>
      </c>
      <c r="O313" s="12" t="str">
        <f aca="false">IF(OR(H313="",I313="",J313=""),"",IF(F313="Long",(I313-H313)*J313*IF(G313="",1,G313),(H313-I313)*J313*IF(G313="",1,G313)))</f>
        <v/>
      </c>
      <c r="P313" s="13" t="str">
        <f aca="false">IF(O313="","",O313-IF(N313="",0,N313))</f>
        <v/>
      </c>
      <c r="Q313" s="14" t="str">
        <f aca="false">IFERROR(IF(P313="","",P313/K313),"")</f>
        <v/>
      </c>
      <c r="R313" s="6"/>
      <c r="S313" s="5"/>
      <c r="T313" s="15"/>
    </row>
    <row r="314" customFormat="false" ht="18" hidden="false" customHeight="true" outlineLevel="0" collapsed="false">
      <c r="A314" s="16" t="str">
        <f aca="false">IF(B314&lt;&gt;"",ROW()-2,"")</f>
        <v/>
      </c>
      <c r="B314" s="17"/>
      <c r="C314" s="17"/>
      <c r="D314" s="18"/>
      <c r="E314" s="19"/>
      <c r="F314" s="18"/>
      <c r="G314" s="20"/>
      <c r="H314" s="21"/>
      <c r="I314" s="21"/>
      <c r="J314" s="22"/>
      <c r="K314" s="23" t="str">
        <f aca="false">IF(H314*J314=0,"",H314*J314)</f>
        <v/>
      </c>
      <c r="L314" s="24"/>
      <c r="M314" s="24"/>
      <c r="N314" s="23" t="str">
        <f aca="false">IF(L314+M314=0,"",L314+M314)</f>
        <v/>
      </c>
      <c r="O314" s="25" t="str">
        <f aca="false">IF(OR(H314="",I314="",J314=""),"",IF(F314="Long",(I314-H314)*J314*IF(G314="",1,G314),(H314-I314)*J314*IF(G314="",1,G314)))</f>
        <v/>
      </c>
      <c r="P314" s="26" t="str">
        <f aca="false">IF(O314="","",O314-IF(N314="",0,N314))</f>
        <v/>
      </c>
      <c r="Q314" s="27" t="str">
        <f aca="false">IFERROR(IF(P314="","",P314/K314),"")</f>
        <v/>
      </c>
      <c r="R314" s="19"/>
      <c r="S314" s="18"/>
      <c r="T314" s="28"/>
    </row>
    <row r="315" customFormat="false" ht="18" hidden="false" customHeight="true" outlineLevel="0" collapsed="false">
      <c r="A315" s="3" t="str">
        <f aca="false">IF(B315&lt;&gt;"",ROW()-2,"")</f>
        <v/>
      </c>
      <c r="B315" s="4"/>
      <c r="C315" s="4"/>
      <c r="D315" s="5"/>
      <c r="E315" s="6"/>
      <c r="F315" s="5"/>
      <c r="G315" s="7"/>
      <c r="H315" s="8"/>
      <c r="I315" s="8"/>
      <c r="J315" s="9"/>
      <c r="K315" s="10" t="str">
        <f aca="false">IF(H315*J315=0,"",H315*J315)</f>
        <v/>
      </c>
      <c r="L315" s="11"/>
      <c r="M315" s="11"/>
      <c r="N315" s="10" t="str">
        <f aca="false">IF(L315+M315=0,"",L315+M315)</f>
        <v/>
      </c>
      <c r="O315" s="12" t="str">
        <f aca="false">IF(OR(H315="",I315="",J315=""),"",IF(F315="Long",(I315-H315)*J315*IF(G315="",1,G315),(H315-I315)*J315*IF(G315="",1,G315)))</f>
        <v/>
      </c>
      <c r="P315" s="13" t="str">
        <f aca="false">IF(O315="","",O315-IF(N315="",0,N315))</f>
        <v/>
      </c>
      <c r="Q315" s="14" t="str">
        <f aca="false">IFERROR(IF(P315="","",P315/K315),"")</f>
        <v/>
      </c>
      <c r="R315" s="6"/>
      <c r="S315" s="5"/>
      <c r="T315" s="15"/>
    </row>
    <row r="316" customFormat="false" ht="18" hidden="false" customHeight="true" outlineLevel="0" collapsed="false">
      <c r="A316" s="16" t="str">
        <f aca="false">IF(B316&lt;&gt;"",ROW()-2,"")</f>
        <v/>
      </c>
      <c r="B316" s="17"/>
      <c r="C316" s="17"/>
      <c r="D316" s="18"/>
      <c r="E316" s="19"/>
      <c r="F316" s="18"/>
      <c r="G316" s="20"/>
      <c r="H316" s="21"/>
      <c r="I316" s="21"/>
      <c r="J316" s="22"/>
      <c r="K316" s="23" t="str">
        <f aca="false">IF(H316*J316=0,"",H316*J316)</f>
        <v/>
      </c>
      <c r="L316" s="24"/>
      <c r="M316" s="24"/>
      <c r="N316" s="23" t="str">
        <f aca="false">IF(L316+M316=0,"",L316+M316)</f>
        <v/>
      </c>
      <c r="O316" s="25" t="str">
        <f aca="false">IF(OR(H316="",I316="",J316=""),"",IF(F316="Long",(I316-H316)*J316*IF(G316="",1,G316),(H316-I316)*J316*IF(G316="",1,G316)))</f>
        <v/>
      </c>
      <c r="P316" s="26" t="str">
        <f aca="false">IF(O316="","",O316-IF(N316="",0,N316))</f>
        <v/>
      </c>
      <c r="Q316" s="27" t="str">
        <f aca="false">IFERROR(IF(P316="","",P316/K316),"")</f>
        <v/>
      </c>
      <c r="R316" s="19"/>
      <c r="S316" s="18"/>
      <c r="T316" s="28"/>
    </row>
    <row r="317" customFormat="false" ht="18" hidden="false" customHeight="true" outlineLevel="0" collapsed="false">
      <c r="A317" s="3" t="str">
        <f aca="false">IF(B317&lt;&gt;"",ROW()-2,"")</f>
        <v/>
      </c>
      <c r="B317" s="4"/>
      <c r="C317" s="4"/>
      <c r="D317" s="5"/>
      <c r="E317" s="6"/>
      <c r="F317" s="5"/>
      <c r="G317" s="7"/>
      <c r="H317" s="8"/>
      <c r="I317" s="8"/>
      <c r="J317" s="9"/>
      <c r="K317" s="10" t="str">
        <f aca="false">IF(H317*J317=0,"",H317*J317)</f>
        <v/>
      </c>
      <c r="L317" s="11"/>
      <c r="M317" s="11"/>
      <c r="N317" s="10" t="str">
        <f aca="false">IF(L317+M317=0,"",L317+M317)</f>
        <v/>
      </c>
      <c r="O317" s="12" t="str">
        <f aca="false">IF(OR(H317="",I317="",J317=""),"",IF(F317="Long",(I317-H317)*J317*IF(G317="",1,G317),(H317-I317)*J317*IF(G317="",1,G317)))</f>
        <v/>
      </c>
      <c r="P317" s="13" t="str">
        <f aca="false">IF(O317="","",O317-IF(N317="",0,N317))</f>
        <v/>
      </c>
      <c r="Q317" s="14" t="str">
        <f aca="false">IFERROR(IF(P317="","",P317/K317),"")</f>
        <v/>
      </c>
      <c r="R317" s="6"/>
      <c r="S317" s="5"/>
      <c r="T317" s="15"/>
    </row>
    <row r="318" customFormat="false" ht="18" hidden="false" customHeight="true" outlineLevel="0" collapsed="false">
      <c r="A318" s="16" t="str">
        <f aca="false">IF(B318&lt;&gt;"",ROW()-2,"")</f>
        <v/>
      </c>
      <c r="B318" s="17"/>
      <c r="C318" s="17"/>
      <c r="D318" s="18"/>
      <c r="E318" s="19"/>
      <c r="F318" s="18"/>
      <c r="G318" s="20"/>
      <c r="H318" s="21"/>
      <c r="I318" s="21"/>
      <c r="J318" s="22"/>
      <c r="K318" s="23" t="str">
        <f aca="false">IF(H318*J318=0,"",H318*J318)</f>
        <v/>
      </c>
      <c r="L318" s="24"/>
      <c r="M318" s="24"/>
      <c r="N318" s="23" t="str">
        <f aca="false">IF(L318+M318=0,"",L318+M318)</f>
        <v/>
      </c>
      <c r="O318" s="25" t="str">
        <f aca="false">IF(OR(H318="",I318="",J318=""),"",IF(F318="Long",(I318-H318)*J318*IF(G318="",1,G318),(H318-I318)*J318*IF(G318="",1,G318)))</f>
        <v/>
      </c>
      <c r="P318" s="26" t="str">
        <f aca="false">IF(O318="","",O318-IF(N318="",0,N318))</f>
        <v/>
      </c>
      <c r="Q318" s="27" t="str">
        <f aca="false">IFERROR(IF(P318="","",P318/K318),"")</f>
        <v/>
      </c>
      <c r="R318" s="19"/>
      <c r="S318" s="18"/>
      <c r="T318" s="28"/>
    </row>
    <row r="319" customFormat="false" ht="18" hidden="false" customHeight="true" outlineLevel="0" collapsed="false">
      <c r="A319" s="3" t="str">
        <f aca="false">IF(B319&lt;&gt;"",ROW()-2,"")</f>
        <v/>
      </c>
      <c r="B319" s="4"/>
      <c r="C319" s="4"/>
      <c r="D319" s="5"/>
      <c r="E319" s="6"/>
      <c r="F319" s="5"/>
      <c r="G319" s="7"/>
      <c r="H319" s="8"/>
      <c r="I319" s="8"/>
      <c r="J319" s="9"/>
      <c r="K319" s="10" t="str">
        <f aca="false">IF(H319*J319=0,"",H319*J319)</f>
        <v/>
      </c>
      <c r="L319" s="11"/>
      <c r="M319" s="11"/>
      <c r="N319" s="10" t="str">
        <f aca="false">IF(L319+M319=0,"",L319+M319)</f>
        <v/>
      </c>
      <c r="O319" s="12" t="str">
        <f aca="false">IF(OR(H319="",I319="",J319=""),"",IF(F319="Long",(I319-H319)*J319*IF(G319="",1,G319),(H319-I319)*J319*IF(G319="",1,G319)))</f>
        <v/>
      </c>
      <c r="P319" s="13" t="str">
        <f aca="false">IF(O319="","",O319-IF(N319="",0,N319))</f>
        <v/>
      </c>
      <c r="Q319" s="14" t="str">
        <f aca="false">IFERROR(IF(P319="","",P319/K319),"")</f>
        <v/>
      </c>
      <c r="R319" s="6"/>
      <c r="S319" s="5"/>
      <c r="T319" s="15"/>
    </row>
    <row r="320" customFormat="false" ht="18" hidden="false" customHeight="true" outlineLevel="0" collapsed="false">
      <c r="A320" s="16" t="str">
        <f aca="false">IF(B320&lt;&gt;"",ROW()-2,"")</f>
        <v/>
      </c>
      <c r="B320" s="17"/>
      <c r="C320" s="17"/>
      <c r="D320" s="18"/>
      <c r="E320" s="19"/>
      <c r="F320" s="18"/>
      <c r="G320" s="20"/>
      <c r="H320" s="21"/>
      <c r="I320" s="21"/>
      <c r="J320" s="22"/>
      <c r="K320" s="23" t="str">
        <f aca="false">IF(H320*J320=0,"",H320*J320)</f>
        <v/>
      </c>
      <c r="L320" s="24"/>
      <c r="M320" s="24"/>
      <c r="N320" s="23" t="str">
        <f aca="false">IF(L320+M320=0,"",L320+M320)</f>
        <v/>
      </c>
      <c r="O320" s="25" t="str">
        <f aca="false">IF(OR(H320="",I320="",J320=""),"",IF(F320="Long",(I320-H320)*J320*IF(G320="",1,G320),(H320-I320)*J320*IF(G320="",1,G320)))</f>
        <v/>
      </c>
      <c r="P320" s="26" t="str">
        <f aca="false">IF(O320="","",O320-IF(N320="",0,N320))</f>
        <v/>
      </c>
      <c r="Q320" s="27" t="str">
        <f aca="false">IFERROR(IF(P320="","",P320/K320),"")</f>
        <v/>
      </c>
      <c r="R320" s="19"/>
      <c r="S320" s="18"/>
      <c r="T320" s="28"/>
    </row>
    <row r="321" customFormat="false" ht="18" hidden="false" customHeight="true" outlineLevel="0" collapsed="false">
      <c r="A321" s="3" t="str">
        <f aca="false">IF(B321&lt;&gt;"",ROW()-2,"")</f>
        <v/>
      </c>
      <c r="B321" s="4"/>
      <c r="C321" s="4"/>
      <c r="D321" s="5"/>
      <c r="E321" s="6"/>
      <c r="F321" s="5"/>
      <c r="G321" s="7"/>
      <c r="H321" s="8"/>
      <c r="I321" s="8"/>
      <c r="J321" s="9"/>
      <c r="K321" s="10" t="str">
        <f aca="false">IF(H321*J321=0,"",H321*J321)</f>
        <v/>
      </c>
      <c r="L321" s="11"/>
      <c r="M321" s="11"/>
      <c r="N321" s="10" t="str">
        <f aca="false">IF(L321+M321=0,"",L321+M321)</f>
        <v/>
      </c>
      <c r="O321" s="12" t="str">
        <f aca="false">IF(OR(H321="",I321="",J321=""),"",IF(F321="Long",(I321-H321)*J321*IF(G321="",1,G321),(H321-I321)*J321*IF(G321="",1,G321)))</f>
        <v/>
      </c>
      <c r="P321" s="13" t="str">
        <f aca="false">IF(O321="","",O321-IF(N321="",0,N321))</f>
        <v/>
      </c>
      <c r="Q321" s="14" t="str">
        <f aca="false">IFERROR(IF(P321="","",P321/K321),"")</f>
        <v/>
      </c>
      <c r="R321" s="6"/>
      <c r="S321" s="5"/>
      <c r="T321" s="15"/>
    </row>
    <row r="322" customFormat="false" ht="18" hidden="false" customHeight="true" outlineLevel="0" collapsed="false">
      <c r="A322" s="16" t="str">
        <f aca="false">IF(B322&lt;&gt;"",ROW()-2,"")</f>
        <v/>
      </c>
      <c r="B322" s="17"/>
      <c r="C322" s="17"/>
      <c r="D322" s="18"/>
      <c r="E322" s="19"/>
      <c r="F322" s="18"/>
      <c r="G322" s="20"/>
      <c r="H322" s="21"/>
      <c r="I322" s="21"/>
      <c r="J322" s="22"/>
      <c r="K322" s="23" t="str">
        <f aca="false">IF(H322*J322=0,"",H322*J322)</f>
        <v/>
      </c>
      <c r="L322" s="24"/>
      <c r="M322" s="24"/>
      <c r="N322" s="23" t="str">
        <f aca="false">IF(L322+M322=0,"",L322+M322)</f>
        <v/>
      </c>
      <c r="O322" s="25" t="str">
        <f aca="false">IF(OR(H322="",I322="",J322=""),"",IF(F322="Long",(I322-H322)*J322*IF(G322="",1,G322),(H322-I322)*J322*IF(G322="",1,G322)))</f>
        <v/>
      </c>
      <c r="P322" s="26" t="str">
        <f aca="false">IF(O322="","",O322-IF(N322="",0,N322))</f>
        <v/>
      </c>
      <c r="Q322" s="27" t="str">
        <f aca="false">IFERROR(IF(P322="","",P322/K322),"")</f>
        <v/>
      </c>
      <c r="R322" s="19"/>
      <c r="S322" s="18"/>
      <c r="T322" s="28"/>
    </row>
    <row r="323" customFormat="false" ht="18" hidden="false" customHeight="true" outlineLevel="0" collapsed="false">
      <c r="A323" s="3" t="str">
        <f aca="false">IF(B323&lt;&gt;"",ROW()-2,"")</f>
        <v/>
      </c>
      <c r="B323" s="4"/>
      <c r="C323" s="4"/>
      <c r="D323" s="5"/>
      <c r="E323" s="6"/>
      <c r="F323" s="5"/>
      <c r="G323" s="7"/>
      <c r="H323" s="8"/>
      <c r="I323" s="8"/>
      <c r="J323" s="9"/>
      <c r="K323" s="10" t="str">
        <f aca="false">IF(H323*J323=0,"",H323*J323)</f>
        <v/>
      </c>
      <c r="L323" s="11"/>
      <c r="M323" s="11"/>
      <c r="N323" s="10" t="str">
        <f aca="false">IF(L323+M323=0,"",L323+M323)</f>
        <v/>
      </c>
      <c r="O323" s="12" t="str">
        <f aca="false">IF(OR(H323="",I323="",J323=""),"",IF(F323="Long",(I323-H323)*J323*IF(G323="",1,G323),(H323-I323)*J323*IF(G323="",1,G323)))</f>
        <v/>
      </c>
      <c r="P323" s="13" t="str">
        <f aca="false">IF(O323="","",O323-IF(N323="",0,N323))</f>
        <v/>
      </c>
      <c r="Q323" s="14" t="str">
        <f aca="false">IFERROR(IF(P323="","",P323/K323),"")</f>
        <v/>
      </c>
      <c r="R323" s="6"/>
      <c r="S323" s="5"/>
      <c r="T323" s="15"/>
    </row>
    <row r="324" customFormat="false" ht="18" hidden="false" customHeight="true" outlineLevel="0" collapsed="false">
      <c r="A324" s="16" t="str">
        <f aca="false">IF(B324&lt;&gt;"",ROW()-2,"")</f>
        <v/>
      </c>
      <c r="B324" s="17"/>
      <c r="C324" s="17"/>
      <c r="D324" s="18"/>
      <c r="E324" s="19"/>
      <c r="F324" s="18"/>
      <c r="G324" s="20"/>
      <c r="H324" s="21"/>
      <c r="I324" s="21"/>
      <c r="J324" s="22"/>
      <c r="K324" s="23" t="str">
        <f aca="false">IF(H324*J324=0,"",H324*J324)</f>
        <v/>
      </c>
      <c r="L324" s="24"/>
      <c r="M324" s="24"/>
      <c r="N324" s="23" t="str">
        <f aca="false">IF(L324+M324=0,"",L324+M324)</f>
        <v/>
      </c>
      <c r="O324" s="25" t="str">
        <f aca="false">IF(OR(H324="",I324="",J324=""),"",IF(F324="Long",(I324-H324)*J324*IF(G324="",1,G324),(H324-I324)*J324*IF(G324="",1,G324)))</f>
        <v/>
      </c>
      <c r="P324" s="26" t="str">
        <f aca="false">IF(O324="","",O324-IF(N324="",0,N324))</f>
        <v/>
      </c>
      <c r="Q324" s="27" t="str">
        <f aca="false">IFERROR(IF(P324="","",P324/K324),"")</f>
        <v/>
      </c>
      <c r="R324" s="19"/>
      <c r="S324" s="18"/>
      <c r="T324" s="28"/>
    </row>
    <row r="325" customFormat="false" ht="18" hidden="false" customHeight="true" outlineLevel="0" collapsed="false">
      <c r="A325" s="3" t="str">
        <f aca="false">IF(B325&lt;&gt;"",ROW()-2,"")</f>
        <v/>
      </c>
      <c r="B325" s="4"/>
      <c r="C325" s="4"/>
      <c r="D325" s="5"/>
      <c r="E325" s="6"/>
      <c r="F325" s="5"/>
      <c r="G325" s="7"/>
      <c r="H325" s="8"/>
      <c r="I325" s="8"/>
      <c r="J325" s="9"/>
      <c r="K325" s="10" t="str">
        <f aca="false">IF(H325*J325=0,"",H325*J325)</f>
        <v/>
      </c>
      <c r="L325" s="11"/>
      <c r="M325" s="11"/>
      <c r="N325" s="10" t="str">
        <f aca="false">IF(L325+M325=0,"",L325+M325)</f>
        <v/>
      </c>
      <c r="O325" s="12" t="str">
        <f aca="false">IF(OR(H325="",I325="",J325=""),"",IF(F325="Long",(I325-H325)*J325*IF(G325="",1,G325),(H325-I325)*J325*IF(G325="",1,G325)))</f>
        <v/>
      </c>
      <c r="P325" s="13" t="str">
        <f aca="false">IF(O325="","",O325-IF(N325="",0,N325))</f>
        <v/>
      </c>
      <c r="Q325" s="14" t="str">
        <f aca="false">IFERROR(IF(P325="","",P325/K325),"")</f>
        <v/>
      </c>
      <c r="R325" s="6"/>
      <c r="S325" s="5"/>
      <c r="T325" s="15"/>
    </row>
    <row r="326" customFormat="false" ht="18" hidden="false" customHeight="true" outlineLevel="0" collapsed="false">
      <c r="A326" s="16" t="str">
        <f aca="false">IF(B326&lt;&gt;"",ROW()-2,"")</f>
        <v/>
      </c>
      <c r="B326" s="17"/>
      <c r="C326" s="17"/>
      <c r="D326" s="18"/>
      <c r="E326" s="19"/>
      <c r="F326" s="18"/>
      <c r="G326" s="20"/>
      <c r="H326" s="21"/>
      <c r="I326" s="21"/>
      <c r="J326" s="22"/>
      <c r="K326" s="23" t="str">
        <f aca="false">IF(H326*J326=0,"",H326*J326)</f>
        <v/>
      </c>
      <c r="L326" s="24"/>
      <c r="M326" s="24"/>
      <c r="N326" s="23" t="str">
        <f aca="false">IF(L326+M326=0,"",L326+M326)</f>
        <v/>
      </c>
      <c r="O326" s="25" t="str">
        <f aca="false">IF(OR(H326="",I326="",J326=""),"",IF(F326="Long",(I326-H326)*J326*IF(G326="",1,G326),(H326-I326)*J326*IF(G326="",1,G326)))</f>
        <v/>
      </c>
      <c r="P326" s="26" t="str">
        <f aca="false">IF(O326="","",O326-IF(N326="",0,N326))</f>
        <v/>
      </c>
      <c r="Q326" s="27" t="str">
        <f aca="false">IFERROR(IF(P326="","",P326/K326),"")</f>
        <v/>
      </c>
      <c r="R326" s="19"/>
      <c r="S326" s="18"/>
      <c r="T326" s="28"/>
    </row>
    <row r="327" customFormat="false" ht="18" hidden="false" customHeight="true" outlineLevel="0" collapsed="false">
      <c r="A327" s="3" t="str">
        <f aca="false">IF(B327&lt;&gt;"",ROW()-2,"")</f>
        <v/>
      </c>
      <c r="B327" s="4"/>
      <c r="C327" s="4"/>
      <c r="D327" s="5"/>
      <c r="E327" s="6"/>
      <c r="F327" s="5"/>
      <c r="G327" s="7"/>
      <c r="H327" s="8"/>
      <c r="I327" s="8"/>
      <c r="J327" s="9"/>
      <c r="K327" s="10" t="str">
        <f aca="false">IF(H327*J327=0,"",H327*J327)</f>
        <v/>
      </c>
      <c r="L327" s="11"/>
      <c r="M327" s="11"/>
      <c r="N327" s="10" t="str">
        <f aca="false">IF(L327+M327=0,"",L327+M327)</f>
        <v/>
      </c>
      <c r="O327" s="12" t="str">
        <f aca="false">IF(OR(H327="",I327="",J327=""),"",IF(F327="Long",(I327-H327)*J327*IF(G327="",1,G327),(H327-I327)*J327*IF(G327="",1,G327)))</f>
        <v/>
      </c>
      <c r="P327" s="13" t="str">
        <f aca="false">IF(O327="","",O327-IF(N327="",0,N327))</f>
        <v/>
      </c>
      <c r="Q327" s="14" t="str">
        <f aca="false">IFERROR(IF(P327="","",P327/K327),"")</f>
        <v/>
      </c>
      <c r="R327" s="6"/>
      <c r="S327" s="5"/>
      <c r="T327" s="15"/>
    </row>
    <row r="328" customFormat="false" ht="18" hidden="false" customHeight="true" outlineLevel="0" collapsed="false">
      <c r="A328" s="16" t="str">
        <f aca="false">IF(B328&lt;&gt;"",ROW()-2,"")</f>
        <v/>
      </c>
      <c r="B328" s="17"/>
      <c r="C328" s="17"/>
      <c r="D328" s="18"/>
      <c r="E328" s="19"/>
      <c r="F328" s="18"/>
      <c r="G328" s="20"/>
      <c r="H328" s="21"/>
      <c r="I328" s="21"/>
      <c r="J328" s="22"/>
      <c r="K328" s="23" t="str">
        <f aca="false">IF(H328*J328=0,"",H328*J328)</f>
        <v/>
      </c>
      <c r="L328" s="24"/>
      <c r="M328" s="24"/>
      <c r="N328" s="23" t="str">
        <f aca="false">IF(L328+M328=0,"",L328+M328)</f>
        <v/>
      </c>
      <c r="O328" s="25" t="str">
        <f aca="false">IF(OR(H328="",I328="",J328=""),"",IF(F328="Long",(I328-H328)*J328*IF(G328="",1,G328),(H328-I328)*J328*IF(G328="",1,G328)))</f>
        <v/>
      </c>
      <c r="P328" s="26" t="str">
        <f aca="false">IF(O328="","",O328-IF(N328="",0,N328))</f>
        <v/>
      </c>
      <c r="Q328" s="27" t="str">
        <f aca="false">IFERROR(IF(P328="","",P328/K328),"")</f>
        <v/>
      </c>
      <c r="R328" s="19"/>
      <c r="S328" s="18"/>
      <c r="T328" s="28"/>
    </row>
    <row r="329" customFormat="false" ht="18" hidden="false" customHeight="true" outlineLevel="0" collapsed="false">
      <c r="A329" s="3" t="str">
        <f aca="false">IF(B329&lt;&gt;"",ROW()-2,"")</f>
        <v/>
      </c>
      <c r="B329" s="4"/>
      <c r="C329" s="4"/>
      <c r="D329" s="5"/>
      <c r="E329" s="6"/>
      <c r="F329" s="5"/>
      <c r="G329" s="7"/>
      <c r="H329" s="8"/>
      <c r="I329" s="8"/>
      <c r="J329" s="9"/>
      <c r="K329" s="10" t="str">
        <f aca="false">IF(H329*J329=0,"",H329*J329)</f>
        <v/>
      </c>
      <c r="L329" s="11"/>
      <c r="M329" s="11"/>
      <c r="N329" s="10" t="str">
        <f aca="false">IF(L329+M329=0,"",L329+M329)</f>
        <v/>
      </c>
      <c r="O329" s="12" t="str">
        <f aca="false">IF(OR(H329="",I329="",J329=""),"",IF(F329="Long",(I329-H329)*J329*IF(G329="",1,G329),(H329-I329)*J329*IF(G329="",1,G329)))</f>
        <v/>
      </c>
      <c r="P329" s="13" t="str">
        <f aca="false">IF(O329="","",O329-IF(N329="",0,N329))</f>
        <v/>
      </c>
      <c r="Q329" s="14" t="str">
        <f aca="false">IFERROR(IF(P329="","",P329/K329),"")</f>
        <v/>
      </c>
      <c r="R329" s="6"/>
      <c r="S329" s="5"/>
      <c r="T329" s="15"/>
    </row>
    <row r="330" customFormat="false" ht="18" hidden="false" customHeight="true" outlineLevel="0" collapsed="false">
      <c r="A330" s="16" t="str">
        <f aca="false">IF(B330&lt;&gt;"",ROW()-2,"")</f>
        <v/>
      </c>
      <c r="B330" s="17"/>
      <c r="C330" s="17"/>
      <c r="D330" s="18"/>
      <c r="E330" s="19"/>
      <c r="F330" s="18"/>
      <c r="G330" s="20"/>
      <c r="H330" s="21"/>
      <c r="I330" s="21"/>
      <c r="J330" s="22"/>
      <c r="K330" s="23" t="str">
        <f aca="false">IF(H330*J330=0,"",H330*J330)</f>
        <v/>
      </c>
      <c r="L330" s="24"/>
      <c r="M330" s="24"/>
      <c r="N330" s="23" t="str">
        <f aca="false">IF(L330+M330=0,"",L330+M330)</f>
        <v/>
      </c>
      <c r="O330" s="25" t="str">
        <f aca="false">IF(OR(H330="",I330="",J330=""),"",IF(F330="Long",(I330-H330)*J330*IF(G330="",1,G330),(H330-I330)*J330*IF(G330="",1,G330)))</f>
        <v/>
      </c>
      <c r="P330" s="26" t="str">
        <f aca="false">IF(O330="","",O330-IF(N330="",0,N330))</f>
        <v/>
      </c>
      <c r="Q330" s="27" t="str">
        <f aca="false">IFERROR(IF(P330="","",P330/K330),"")</f>
        <v/>
      </c>
      <c r="R330" s="19"/>
      <c r="S330" s="18"/>
      <c r="T330" s="28"/>
    </row>
    <row r="331" customFormat="false" ht="18" hidden="false" customHeight="true" outlineLevel="0" collapsed="false">
      <c r="A331" s="3" t="str">
        <f aca="false">IF(B331&lt;&gt;"",ROW()-2,"")</f>
        <v/>
      </c>
      <c r="B331" s="4"/>
      <c r="C331" s="4"/>
      <c r="D331" s="5"/>
      <c r="E331" s="6"/>
      <c r="F331" s="5"/>
      <c r="G331" s="7"/>
      <c r="H331" s="8"/>
      <c r="I331" s="8"/>
      <c r="J331" s="9"/>
      <c r="K331" s="10" t="str">
        <f aca="false">IF(H331*J331=0,"",H331*J331)</f>
        <v/>
      </c>
      <c r="L331" s="11"/>
      <c r="M331" s="11"/>
      <c r="N331" s="10" t="str">
        <f aca="false">IF(L331+M331=0,"",L331+M331)</f>
        <v/>
      </c>
      <c r="O331" s="12" t="str">
        <f aca="false">IF(OR(H331="",I331="",J331=""),"",IF(F331="Long",(I331-H331)*J331*IF(G331="",1,G331),(H331-I331)*J331*IF(G331="",1,G331)))</f>
        <v/>
      </c>
      <c r="P331" s="13" t="str">
        <f aca="false">IF(O331="","",O331-IF(N331="",0,N331))</f>
        <v/>
      </c>
      <c r="Q331" s="14" t="str">
        <f aca="false">IFERROR(IF(P331="","",P331/K331),"")</f>
        <v/>
      </c>
      <c r="R331" s="6"/>
      <c r="S331" s="5"/>
      <c r="T331" s="15"/>
    </row>
    <row r="332" customFormat="false" ht="18" hidden="false" customHeight="true" outlineLevel="0" collapsed="false">
      <c r="A332" s="16" t="str">
        <f aca="false">IF(B332&lt;&gt;"",ROW()-2,"")</f>
        <v/>
      </c>
      <c r="B332" s="17"/>
      <c r="C332" s="17"/>
      <c r="D332" s="18"/>
      <c r="E332" s="19"/>
      <c r="F332" s="18"/>
      <c r="G332" s="20"/>
      <c r="H332" s="21"/>
      <c r="I332" s="21"/>
      <c r="J332" s="22"/>
      <c r="K332" s="23" t="str">
        <f aca="false">IF(H332*J332=0,"",H332*J332)</f>
        <v/>
      </c>
      <c r="L332" s="24"/>
      <c r="M332" s="24"/>
      <c r="N332" s="23" t="str">
        <f aca="false">IF(L332+M332=0,"",L332+M332)</f>
        <v/>
      </c>
      <c r="O332" s="25" t="str">
        <f aca="false">IF(OR(H332="",I332="",J332=""),"",IF(F332="Long",(I332-H332)*J332*IF(G332="",1,G332),(H332-I332)*J332*IF(G332="",1,G332)))</f>
        <v/>
      </c>
      <c r="P332" s="26" t="str">
        <f aca="false">IF(O332="","",O332-IF(N332="",0,N332))</f>
        <v/>
      </c>
      <c r="Q332" s="27" t="str">
        <f aca="false">IFERROR(IF(P332="","",P332/K332),"")</f>
        <v/>
      </c>
      <c r="R332" s="19"/>
      <c r="S332" s="18"/>
      <c r="T332" s="28"/>
    </row>
    <row r="333" customFormat="false" ht="18" hidden="false" customHeight="true" outlineLevel="0" collapsed="false">
      <c r="A333" s="3" t="str">
        <f aca="false">IF(B333&lt;&gt;"",ROW()-2,"")</f>
        <v/>
      </c>
      <c r="B333" s="4"/>
      <c r="C333" s="4"/>
      <c r="D333" s="5"/>
      <c r="E333" s="6"/>
      <c r="F333" s="5"/>
      <c r="G333" s="7"/>
      <c r="H333" s="8"/>
      <c r="I333" s="8"/>
      <c r="J333" s="9"/>
      <c r="K333" s="10" t="str">
        <f aca="false">IF(H333*J333=0,"",H333*J333)</f>
        <v/>
      </c>
      <c r="L333" s="11"/>
      <c r="M333" s="11"/>
      <c r="N333" s="10" t="str">
        <f aca="false">IF(L333+M333=0,"",L333+M333)</f>
        <v/>
      </c>
      <c r="O333" s="12" t="str">
        <f aca="false">IF(OR(H333="",I333="",J333=""),"",IF(F333="Long",(I333-H333)*J333*IF(G333="",1,G333),(H333-I333)*J333*IF(G333="",1,G333)))</f>
        <v/>
      </c>
      <c r="P333" s="13" t="str">
        <f aca="false">IF(O333="","",O333-IF(N333="",0,N333))</f>
        <v/>
      </c>
      <c r="Q333" s="14" t="str">
        <f aca="false">IFERROR(IF(P333="","",P333/K333),"")</f>
        <v/>
      </c>
      <c r="R333" s="6"/>
      <c r="S333" s="5"/>
      <c r="T333" s="15"/>
    </row>
    <row r="334" customFormat="false" ht="18" hidden="false" customHeight="true" outlineLevel="0" collapsed="false">
      <c r="A334" s="16" t="str">
        <f aca="false">IF(B334&lt;&gt;"",ROW()-2,"")</f>
        <v/>
      </c>
      <c r="B334" s="17"/>
      <c r="C334" s="17"/>
      <c r="D334" s="18"/>
      <c r="E334" s="19"/>
      <c r="F334" s="18"/>
      <c r="G334" s="20"/>
      <c r="H334" s="21"/>
      <c r="I334" s="21"/>
      <c r="J334" s="22"/>
      <c r="K334" s="23" t="str">
        <f aca="false">IF(H334*J334=0,"",H334*J334)</f>
        <v/>
      </c>
      <c r="L334" s="24"/>
      <c r="M334" s="24"/>
      <c r="N334" s="23" t="str">
        <f aca="false">IF(L334+M334=0,"",L334+M334)</f>
        <v/>
      </c>
      <c r="O334" s="25" t="str">
        <f aca="false">IF(OR(H334="",I334="",J334=""),"",IF(F334="Long",(I334-H334)*J334*IF(G334="",1,G334),(H334-I334)*J334*IF(G334="",1,G334)))</f>
        <v/>
      </c>
      <c r="P334" s="26" t="str">
        <f aca="false">IF(O334="","",O334-IF(N334="",0,N334))</f>
        <v/>
      </c>
      <c r="Q334" s="27" t="str">
        <f aca="false">IFERROR(IF(P334="","",P334/K334),"")</f>
        <v/>
      </c>
      <c r="R334" s="19"/>
      <c r="S334" s="18"/>
      <c r="T334" s="28"/>
    </row>
    <row r="335" customFormat="false" ht="18" hidden="false" customHeight="true" outlineLevel="0" collapsed="false">
      <c r="A335" s="3" t="str">
        <f aca="false">IF(B335&lt;&gt;"",ROW()-2,"")</f>
        <v/>
      </c>
      <c r="B335" s="4"/>
      <c r="C335" s="4"/>
      <c r="D335" s="5"/>
      <c r="E335" s="6"/>
      <c r="F335" s="5"/>
      <c r="G335" s="7"/>
      <c r="H335" s="8"/>
      <c r="I335" s="8"/>
      <c r="J335" s="9"/>
      <c r="K335" s="10" t="str">
        <f aca="false">IF(H335*J335=0,"",H335*J335)</f>
        <v/>
      </c>
      <c r="L335" s="11"/>
      <c r="M335" s="11"/>
      <c r="N335" s="10" t="str">
        <f aca="false">IF(L335+M335=0,"",L335+M335)</f>
        <v/>
      </c>
      <c r="O335" s="12" t="str">
        <f aca="false">IF(OR(H335="",I335="",J335=""),"",IF(F335="Long",(I335-H335)*J335*IF(G335="",1,G335),(H335-I335)*J335*IF(G335="",1,G335)))</f>
        <v/>
      </c>
      <c r="P335" s="13" t="str">
        <f aca="false">IF(O335="","",O335-IF(N335="",0,N335))</f>
        <v/>
      </c>
      <c r="Q335" s="14" t="str">
        <f aca="false">IFERROR(IF(P335="","",P335/K335),"")</f>
        <v/>
      </c>
      <c r="R335" s="6"/>
      <c r="S335" s="5"/>
      <c r="T335" s="15"/>
    </row>
    <row r="336" customFormat="false" ht="18" hidden="false" customHeight="true" outlineLevel="0" collapsed="false">
      <c r="A336" s="16" t="str">
        <f aca="false">IF(B336&lt;&gt;"",ROW()-2,"")</f>
        <v/>
      </c>
      <c r="B336" s="17"/>
      <c r="C336" s="17"/>
      <c r="D336" s="18"/>
      <c r="E336" s="19"/>
      <c r="F336" s="18"/>
      <c r="G336" s="20"/>
      <c r="H336" s="21"/>
      <c r="I336" s="21"/>
      <c r="J336" s="22"/>
      <c r="K336" s="23" t="str">
        <f aca="false">IF(H336*J336=0,"",H336*J336)</f>
        <v/>
      </c>
      <c r="L336" s="24"/>
      <c r="M336" s="24"/>
      <c r="N336" s="23" t="str">
        <f aca="false">IF(L336+M336=0,"",L336+M336)</f>
        <v/>
      </c>
      <c r="O336" s="25" t="str">
        <f aca="false">IF(OR(H336="",I336="",J336=""),"",IF(F336="Long",(I336-H336)*J336*IF(G336="",1,G336),(H336-I336)*J336*IF(G336="",1,G336)))</f>
        <v/>
      </c>
      <c r="P336" s="26" t="str">
        <f aca="false">IF(O336="","",O336-IF(N336="",0,N336))</f>
        <v/>
      </c>
      <c r="Q336" s="27" t="str">
        <f aca="false">IFERROR(IF(P336="","",P336/K336),"")</f>
        <v/>
      </c>
      <c r="R336" s="19"/>
      <c r="S336" s="18"/>
      <c r="T336" s="28"/>
    </row>
    <row r="337" customFormat="false" ht="18" hidden="false" customHeight="true" outlineLevel="0" collapsed="false">
      <c r="A337" s="3" t="str">
        <f aca="false">IF(B337&lt;&gt;"",ROW()-2,"")</f>
        <v/>
      </c>
      <c r="B337" s="4"/>
      <c r="C337" s="4"/>
      <c r="D337" s="5"/>
      <c r="E337" s="6"/>
      <c r="F337" s="5"/>
      <c r="G337" s="7"/>
      <c r="H337" s="8"/>
      <c r="I337" s="8"/>
      <c r="J337" s="9"/>
      <c r="K337" s="10" t="str">
        <f aca="false">IF(H337*J337=0,"",H337*J337)</f>
        <v/>
      </c>
      <c r="L337" s="11"/>
      <c r="M337" s="11"/>
      <c r="N337" s="10" t="str">
        <f aca="false">IF(L337+M337=0,"",L337+M337)</f>
        <v/>
      </c>
      <c r="O337" s="12" t="str">
        <f aca="false">IF(OR(H337="",I337="",J337=""),"",IF(F337="Long",(I337-H337)*J337*IF(G337="",1,G337),(H337-I337)*J337*IF(G337="",1,G337)))</f>
        <v/>
      </c>
      <c r="P337" s="13" t="str">
        <f aca="false">IF(O337="","",O337-IF(N337="",0,N337))</f>
        <v/>
      </c>
      <c r="Q337" s="14" t="str">
        <f aca="false">IFERROR(IF(P337="","",P337/K337),"")</f>
        <v/>
      </c>
      <c r="R337" s="6"/>
      <c r="S337" s="5"/>
      <c r="T337" s="15"/>
    </row>
    <row r="338" customFormat="false" ht="18" hidden="false" customHeight="true" outlineLevel="0" collapsed="false">
      <c r="A338" s="16" t="str">
        <f aca="false">IF(B338&lt;&gt;"",ROW()-2,"")</f>
        <v/>
      </c>
      <c r="B338" s="17"/>
      <c r="C338" s="17"/>
      <c r="D338" s="18"/>
      <c r="E338" s="19"/>
      <c r="F338" s="18"/>
      <c r="G338" s="20"/>
      <c r="H338" s="21"/>
      <c r="I338" s="21"/>
      <c r="J338" s="22"/>
      <c r="K338" s="23" t="str">
        <f aca="false">IF(H338*J338=0,"",H338*J338)</f>
        <v/>
      </c>
      <c r="L338" s="24"/>
      <c r="M338" s="24"/>
      <c r="N338" s="23" t="str">
        <f aca="false">IF(L338+M338=0,"",L338+M338)</f>
        <v/>
      </c>
      <c r="O338" s="25" t="str">
        <f aca="false">IF(OR(H338="",I338="",J338=""),"",IF(F338="Long",(I338-H338)*J338*IF(G338="",1,G338),(H338-I338)*J338*IF(G338="",1,G338)))</f>
        <v/>
      </c>
      <c r="P338" s="26" t="str">
        <f aca="false">IF(O338="","",O338-IF(N338="",0,N338))</f>
        <v/>
      </c>
      <c r="Q338" s="27" t="str">
        <f aca="false">IFERROR(IF(P338="","",P338/K338),"")</f>
        <v/>
      </c>
      <c r="R338" s="19"/>
      <c r="S338" s="18"/>
      <c r="T338" s="28"/>
    </row>
    <row r="339" customFormat="false" ht="18" hidden="false" customHeight="true" outlineLevel="0" collapsed="false">
      <c r="A339" s="3" t="str">
        <f aca="false">IF(B339&lt;&gt;"",ROW()-2,"")</f>
        <v/>
      </c>
      <c r="B339" s="4"/>
      <c r="C339" s="4"/>
      <c r="D339" s="5"/>
      <c r="E339" s="6"/>
      <c r="F339" s="5"/>
      <c r="G339" s="7"/>
      <c r="H339" s="8"/>
      <c r="I339" s="8"/>
      <c r="J339" s="9"/>
      <c r="K339" s="10" t="str">
        <f aca="false">IF(H339*J339=0,"",H339*J339)</f>
        <v/>
      </c>
      <c r="L339" s="11"/>
      <c r="M339" s="11"/>
      <c r="N339" s="10" t="str">
        <f aca="false">IF(L339+M339=0,"",L339+M339)</f>
        <v/>
      </c>
      <c r="O339" s="12" t="str">
        <f aca="false">IF(OR(H339="",I339="",J339=""),"",IF(F339="Long",(I339-H339)*J339*IF(G339="",1,G339),(H339-I339)*J339*IF(G339="",1,G339)))</f>
        <v/>
      </c>
      <c r="P339" s="13" t="str">
        <f aca="false">IF(O339="","",O339-IF(N339="",0,N339))</f>
        <v/>
      </c>
      <c r="Q339" s="14" t="str">
        <f aca="false">IFERROR(IF(P339="","",P339/K339),"")</f>
        <v/>
      </c>
      <c r="R339" s="6"/>
      <c r="S339" s="5"/>
      <c r="T339" s="15"/>
    </row>
    <row r="340" customFormat="false" ht="18" hidden="false" customHeight="true" outlineLevel="0" collapsed="false">
      <c r="A340" s="16" t="str">
        <f aca="false">IF(B340&lt;&gt;"",ROW()-2,"")</f>
        <v/>
      </c>
      <c r="B340" s="17"/>
      <c r="C340" s="17"/>
      <c r="D340" s="18"/>
      <c r="E340" s="19"/>
      <c r="F340" s="18"/>
      <c r="G340" s="20"/>
      <c r="H340" s="21"/>
      <c r="I340" s="21"/>
      <c r="J340" s="22"/>
      <c r="K340" s="23" t="str">
        <f aca="false">IF(H340*J340=0,"",H340*J340)</f>
        <v/>
      </c>
      <c r="L340" s="24"/>
      <c r="M340" s="24"/>
      <c r="N340" s="23" t="str">
        <f aca="false">IF(L340+M340=0,"",L340+M340)</f>
        <v/>
      </c>
      <c r="O340" s="25" t="str">
        <f aca="false">IF(OR(H340="",I340="",J340=""),"",IF(F340="Long",(I340-H340)*J340*IF(G340="",1,G340),(H340-I340)*J340*IF(G340="",1,G340)))</f>
        <v/>
      </c>
      <c r="P340" s="26" t="str">
        <f aca="false">IF(O340="","",O340-IF(N340="",0,N340))</f>
        <v/>
      </c>
      <c r="Q340" s="27" t="str">
        <f aca="false">IFERROR(IF(P340="","",P340/K340),"")</f>
        <v/>
      </c>
      <c r="R340" s="19"/>
      <c r="S340" s="18"/>
      <c r="T340" s="28"/>
    </row>
    <row r="341" customFormat="false" ht="18" hidden="false" customHeight="true" outlineLevel="0" collapsed="false">
      <c r="A341" s="3" t="str">
        <f aca="false">IF(B341&lt;&gt;"",ROW()-2,"")</f>
        <v/>
      </c>
      <c r="B341" s="4"/>
      <c r="C341" s="4"/>
      <c r="D341" s="5"/>
      <c r="E341" s="6"/>
      <c r="F341" s="5"/>
      <c r="G341" s="7"/>
      <c r="H341" s="8"/>
      <c r="I341" s="8"/>
      <c r="J341" s="9"/>
      <c r="K341" s="10" t="str">
        <f aca="false">IF(H341*J341=0,"",H341*J341)</f>
        <v/>
      </c>
      <c r="L341" s="11"/>
      <c r="M341" s="11"/>
      <c r="N341" s="10" t="str">
        <f aca="false">IF(L341+M341=0,"",L341+M341)</f>
        <v/>
      </c>
      <c r="O341" s="12" t="str">
        <f aca="false">IF(OR(H341="",I341="",J341=""),"",IF(F341="Long",(I341-H341)*J341*IF(G341="",1,G341),(H341-I341)*J341*IF(G341="",1,G341)))</f>
        <v/>
      </c>
      <c r="P341" s="13" t="str">
        <f aca="false">IF(O341="","",O341-IF(N341="",0,N341))</f>
        <v/>
      </c>
      <c r="Q341" s="14" t="str">
        <f aca="false">IFERROR(IF(P341="","",P341/K341),"")</f>
        <v/>
      </c>
      <c r="R341" s="6"/>
      <c r="S341" s="5"/>
      <c r="T341" s="15"/>
    </row>
    <row r="342" customFormat="false" ht="18" hidden="false" customHeight="true" outlineLevel="0" collapsed="false">
      <c r="A342" s="16" t="str">
        <f aca="false">IF(B342&lt;&gt;"",ROW()-2,"")</f>
        <v/>
      </c>
      <c r="B342" s="17"/>
      <c r="C342" s="17"/>
      <c r="D342" s="18"/>
      <c r="E342" s="19"/>
      <c r="F342" s="18"/>
      <c r="G342" s="20"/>
      <c r="H342" s="21"/>
      <c r="I342" s="21"/>
      <c r="J342" s="22"/>
      <c r="K342" s="23" t="str">
        <f aca="false">IF(H342*J342=0,"",H342*J342)</f>
        <v/>
      </c>
      <c r="L342" s="24"/>
      <c r="M342" s="24"/>
      <c r="N342" s="23" t="str">
        <f aca="false">IF(L342+M342=0,"",L342+M342)</f>
        <v/>
      </c>
      <c r="O342" s="25" t="str">
        <f aca="false">IF(OR(H342="",I342="",J342=""),"",IF(F342="Long",(I342-H342)*J342*IF(G342="",1,G342),(H342-I342)*J342*IF(G342="",1,G342)))</f>
        <v/>
      </c>
      <c r="P342" s="26" t="str">
        <f aca="false">IF(O342="","",O342-IF(N342="",0,N342))</f>
        <v/>
      </c>
      <c r="Q342" s="27" t="str">
        <f aca="false">IFERROR(IF(P342="","",P342/K342),"")</f>
        <v/>
      </c>
      <c r="R342" s="19"/>
      <c r="S342" s="18"/>
      <c r="T342" s="28"/>
    </row>
    <row r="343" customFormat="false" ht="18" hidden="false" customHeight="true" outlineLevel="0" collapsed="false">
      <c r="A343" s="3" t="str">
        <f aca="false">IF(B343&lt;&gt;"",ROW()-2,"")</f>
        <v/>
      </c>
      <c r="B343" s="4"/>
      <c r="C343" s="4"/>
      <c r="D343" s="5"/>
      <c r="E343" s="6"/>
      <c r="F343" s="5"/>
      <c r="G343" s="7"/>
      <c r="H343" s="8"/>
      <c r="I343" s="8"/>
      <c r="J343" s="9"/>
      <c r="K343" s="10" t="str">
        <f aca="false">IF(H343*J343=0,"",H343*J343)</f>
        <v/>
      </c>
      <c r="L343" s="11"/>
      <c r="M343" s="11"/>
      <c r="N343" s="10" t="str">
        <f aca="false">IF(L343+M343=0,"",L343+M343)</f>
        <v/>
      </c>
      <c r="O343" s="12" t="str">
        <f aca="false">IF(OR(H343="",I343="",J343=""),"",IF(F343="Long",(I343-H343)*J343*IF(G343="",1,G343),(H343-I343)*J343*IF(G343="",1,G343)))</f>
        <v/>
      </c>
      <c r="P343" s="13" t="str">
        <f aca="false">IF(O343="","",O343-IF(N343="",0,N343))</f>
        <v/>
      </c>
      <c r="Q343" s="14" t="str">
        <f aca="false">IFERROR(IF(P343="","",P343/K343),"")</f>
        <v/>
      </c>
      <c r="R343" s="6"/>
      <c r="S343" s="5"/>
      <c r="T343" s="15"/>
    </row>
    <row r="344" customFormat="false" ht="18" hidden="false" customHeight="true" outlineLevel="0" collapsed="false">
      <c r="A344" s="16" t="str">
        <f aca="false">IF(B344&lt;&gt;"",ROW()-2,"")</f>
        <v/>
      </c>
      <c r="B344" s="17"/>
      <c r="C344" s="17"/>
      <c r="D344" s="18"/>
      <c r="E344" s="19"/>
      <c r="F344" s="18"/>
      <c r="G344" s="20"/>
      <c r="H344" s="21"/>
      <c r="I344" s="21"/>
      <c r="J344" s="22"/>
      <c r="K344" s="23" t="str">
        <f aca="false">IF(H344*J344=0,"",H344*J344)</f>
        <v/>
      </c>
      <c r="L344" s="24"/>
      <c r="M344" s="24"/>
      <c r="N344" s="23" t="str">
        <f aca="false">IF(L344+M344=0,"",L344+M344)</f>
        <v/>
      </c>
      <c r="O344" s="25" t="str">
        <f aca="false">IF(OR(H344="",I344="",J344=""),"",IF(F344="Long",(I344-H344)*J344*IF(G344="",1,G344),(H344-I344)*J344*IF(G344="",1,G344)))</f>
        <v/>
      </c>
      <c r="P344" s="26" t="str">
        <f aca="false">IF(O344="","",O344-IF(N344="",0,N344))</f>
        <v/>
      </c>
      <c r="Q344" s="27" t="str">
        <f aca="false">IFERROR(IF(P344="","",P344/K344),"")</f>
        <v/>
      </c>
      <c r="R344" s="19"/>
      <c r="S344" s="18"/>
      <c r="T344" s="28"/>
    </row>
    <row r="345" customFormat="false" ht="18" hidden="false" customHeight="true" outlineLevel="0" collapsed="false">
      <c r="A345" s="3" t="str">
        <f aca="false">IF(B345&lt;&gt;"",ROW()-2,"")</f>
        <v/>
      </c>
      <c r="B345" s="4"/>
      <c r="C345" s="4"/>
      <c r="D345" s="5"/>
      <c r="E345" s="6"/>
      <c r="F345" s="5"/>
      <c r="G345" s="7"/>
      <c r="H345" s="8"/>
      <c r="I345" s="8"/>
      <c r="J345" s="9"/>
      <c r="K345" s="10" t="str">
        <f aca="false">IF(H345*J345=0,"",H345*J345)</f>
        <v/>
      </c>
      <c r="L345" s="11"/>
      <c r="M345" s="11"/>
      <c r="N345" s="10" t="str">
        <f aca="false">IF(L345+M345=0,"",L345+M345)</f>
        <v/>
      </c>
      <c r="O345" s="12" t="str">
        <f aca="false">IF(OR(H345="",I345="",J345=""),"",IF(F345="Long",(I345-H345)*J345*IF(G345="",1,G345),(H345-I345)*J345*IF(G345="",1,G345)))</f>
        <v/>
      </c>
      <c r="P345" s="13" t="str">
        <f aca="false">IF(O345="","",O345-IF(N345="",0,N345))</f>
        <v/>
      </c>
      <c r="Q345" s="14" t="str">
        <f aca="false">IFERROR(IF(P345="","",P345/K345),"")</f>
        <v/>
      </c>
      <c r="R345" s="6"/>
      <c r="S345" s="5"/>
      <c r="T345" s="15"/>
    </row>
    <row r="346" customFormat="false" ht="18" hidden="false" customHeight="true" outlineLevel="0" collapsed="false">
      <c r="A346" s="16" t="str">
        <f aca="false">IF(B346&lt;&gt;"",ROW()-2,"")</f>
        <v/>
      </c>
      <c r="B346" s="17"/>
      <c r="C346" s="17"/>
      <c r="D346" s="18"/>
      <c r="E346" s="19"/>
      <c r="F346" s="18"/>
      <c r="G346" s="20"/>
      <c r="H346" s="21"/>
      <c r="I346" s="21"/>
      <c r="J346" s="22"/>
      <c r="K346" s="23" t="str">
        <f aca="false">IF(H346*J346=0,"",H346*J346)</f>
        <v/>
      </c>
      <c r="L346" s="24"/>
      <c r="M346" s="24"/>
      <c r="N346" s="23" t="str">
        <f aca="false">IF(L346+M346=0,"",L346+M346)</f>
        <v/>
      </c>
      <c r="O346" s="25" t="str">
        <f aca="false">IF(OR(H346="",I346="",J346=""),"",IF(F346="Long",(I346-H346)*J346*IF(G346="",1,G346),(H346-I346)*J346*IF(G346="",1,G346)))</f>
        <v/>
      </c>
      <c r="P346" s="26" t="str">
        <f aca="false">IF(O346="","",O346-IF(N346="",0,N346))</f>
        <v/>
      </c>
      <c r="Q346" s="27" t="str">
        <f aca="false">IFERROR(IF(P346="","",P346/K346),"")</f>
        <v/>
      </c>
      <c r="R346" s="19"/>
      <c r="S346" s="18"/>
      <c r="T346" s="28"/>
    </row>
    <row r="347" customFormat="false" ht="18" hidden="false" customHeight="true" outlineLevel="0" collapsed="false">
      <c r="A347" s="3" t="str">
        <f aca="false">IF(B347&lt;&gt;"",ROW()-2,"")</f>
        <v/>
      </c>
      <c r="B347" s="4"/>
      <c r="C347" s="4"/>
      <c r="D347" s="5"/>
      <c r="E347" s="6"/>
      <c r="F347" s="5"/>
      <c r="G347" s="7"/>
      <c r="H347" s="8"/>
      <c r="I347" s="8"/>
      <c r="J347" s="9"/>
      <c r="K347" s="10" t="str">
        <f aca="false">IF(H347*J347=0,"",H347*J347)</f>
        <v/>
      </c>
      <c r="L347" s="11"/>
      <c r="M347" s="11"/>
      <c r="N347" s="10" t="str">
        <f aca="false">IF(L347+M347=0,"",L347+M347)</f>
        <v/>
      </c>
      <c r="O347" s="12" t="str">
        <f aca="false">IF(OR(H347="",I347="",J347=""),"",IF(F347="Long",(I347-H347)*J347*IF(G347="",1,G347),(H347-I347)*J347*IF(G347="",1,G347)))</f>
        <v/>
      </c>
      <c r="P347" s="13" t="str">
        <f aca="false">IF(O347="","",O347-IF(N347="",0,N347))</f>
        <v/>
      </c>
      <c r="Q347" s="14" t="str">
        <f aca="false">IFERROR(IF(P347="","",P347/K347),"")</f>
        <v/>
      </c>
      <c r="R347" s="6"/>
      <c r="S347" s="5"/>
      <c r="T347" s="15"/>
    </row>
    <row r="348" customFormat="false" ht="18" hidden="false" customHeight="true" outlineLevel="0" collapsed="false">
      <c r="A348" s="16" t="str">
        <f aca="false">IF(B348&lt;&gt;"",ROW()-2,"")</f>
        <v/>
      </c>
      <c r="B348" s="17"/>
      <c r="C348" s="17"/>
      <c r="D348" s="18"/>
      <c r="E348" s="19"/>
      <c r="F348" s="18"/>
      <c r="G348" s="20"/>
      <c r="H348" s="21"/>
      <c r="I348" s="21"/>
      <c r="J348" s="22"/>
      <c r="K348" s="23" t="str">
        <f aca="false">IF(H348*J348=0,"",H348*J348)</f>
        <v/>
      </c>
      <c r="L348" s="24"/>
      <c r="M348" s="24"/>
      <c r="N348" s="23" t="str">
        <f aca="false">IF(L348+M348=0,"",L348+M348)</f>
        <v/>
      </c>
      <c r="O348" s="25" t="str">
        <f aca="false">IF(OR(H348="",I348="",J348=""),"",IF(F348="Long",(I348-H348)*J348*IF(G348="",1,G348),(H348-I348)*J348*IF(G348="",1,G348)))</f>
        <v/>
      </c>
      <c r="P348" s="26" t="str">
        <f aca="false">IF(O348="","",O348-IF(N348="",0,N348))</f>
        <v/>
      </c>
      <c r="Q348" s="27" t="str">
        <f aca="false">IFERROR(IF(P348="","",P348/K348),"")</f>
        <v/>
      </c>
      <c r="R348" s="19"/>
      <c r="S348" s="18"/>
      <c r="T348" s="28"/>
    </row>
    <row r="349" customFormat="false" ht="18" hidden="false" customHeight="true" outlineLevel="0" collapsed="false">
      <c r="A349" s="3" t="str">
        <f aca="false">IF(B349&lt;&gt;"",ROW()-2,"")</f>
        <v/>
      </c>
      <c r="B349" s="4"/>
      <c r="C349" s="4"/>
      <c r="D349" s="5"/>
      <c r="E349" s="6"/>
      <c r="F349" s="5"/>
      <c r="G349" s="7"/>
      <c r="H349" s="8"/>
      <c r="I349" s="8"/>
      <c r="J349" s="9"/>
      <c r="K349" s="10" t="str">
        <f aca="false">IF(H349*J349=0,"",H349*J349)</f>
        <v/>
      </c>
      <c r="L349" s="11"/>
      <c r="M349" s="11"/>
      <c r="N349" s="10" t="str">
        <f aca="false">IF(L349+M349=0,"",L349+M349)</f>
        <v/>
      </c>
      <c r="O349" s="12" t="str">
        <f aca="false">IF(OR(H349="",I349="",J349=""),"",IF(F349="Long",(I349-H349)*J349*IF(G349="",1,G349),(H349-I349)*J349*IF(G349="",1,G349)))</f>
        <v/>
      </c>
      <c r="P349" s="13" t="str">
        <f aca="false">IF(O349="","",O349-IF(N349="",0,N349))</f>
        <v/>
      </c>
      <c r="Q349" s="14" t="str">
        <f aca="false">IFERROR(IF(P349="","",P349/K349),"")</f>
        <v/>
      </c>
      <c r="R349" s="6"/>
      <c r="S349" s="5"/>
      <c r="T349" s="15"/>
    </row>
    <row r="350" customFormat="false" ht="18" hidden="false" customHeight="true" outlineLevel="0" collapsed="false">
      <c r="A350" s="16" t="str">
        <f aca="false">IF(B350&lt;&gt;"",ROW()-2,"")</f>
        <v/>
      </c>
      <c r="B350" s="17"/>
      <c r="C350" s="17"/>
      <c r="D350" s="18"/>
      <c r="E350" s="19"/>
      <c r="F350" s="18"/>
      <c r="G350" s="20"/>
      <c r="H350" s="21"/>
      <c r="I350" s="21"/>
      <c r="J350" s="22"/>
      <c r="K350" s="23" t="str">
        <f aca="false">IF(H350*J350=0,"",H350*J350)</f>
        <v/>
      </c>
      <c r="L350" s="24"/>
      <c r="M350" s="24"/>
      <c r="N350" s="23" t="str">
        <f aca="false">IF(L350+M350=0,"",L350+M350)</f>
        <v/>
      </c>
      <c r="O350" s="25" t="str">
        <f aca="false">IF(OR(H350="",I350="",J350=""),"",IF(F350="Long",(I350-H350)*J350*IF(G350="",1,G350),(H350-I350)*J350*IF(G350="",1,G350)))</f>
        <v/>
      </c>
      <c r="P350" s="26" t="str">
        <f aca="false">IF(O350="","",O350-IF(N350="",0,N350))</f>
        <v/>
      </c>
      <c r="Q350" s="27" t="str">
        <f aca="false">IFERROR(IF(P350="","",P350/K350),"")</f>
        <v/>
      </c>
      <c r="R350" s="19"/>
      <c r="S350" s="18"/>
      <c r="T350" s="28"/>
    </row>
    <row r="351" customFormat="false" ht="18" hidden="false" customHeight="true" outlineLevel="0" collapsed="false">
      <c r="A351" s="3" t="str">
        <f aca="false">IF(B351&lt;&gt;"",ROW()-2,"")</f>
        <v/>
      </c>
      <c r="B351" s="4"/>
      <c r="C351" s="4"/>
      <c r="D351" s="5"/>
      <c r="E351" s="6"/>
      <c r="F351" s="5"/>
      <c r="G351" s="7"/>
      <c r="H351" s="8"/>
      <c r="I351" s="8"/>
      <c r="J351" s="9"/>
      <c r="K351" s="10" t="str">
        <f aca="false">IF(H351*J351=0,"",H351*J351)</f>
        <v/>
      </c>
      <c r="L351" s="11"/>
      <c r="M351" s="11"/>
      <c r="N351" s="10" t="str">
        <f aca="false">IF(L351+M351=0,"",L351+M351)</f>
        <v/>
      </c>
      <c r="O351" s="12" t="str">
        <f aca="false">IF(OR(H351="",I351="",J351=""),"",IF(F351="Long",(I351-H351)*J351*IF(G351="",1,G351),(H351-I351)*J351*IF(G351="",1,G351)))</f>
        <v/>
      </c>
      <c r="P351" s="13" t="str">
        <f aca="false">IF(O351="","",O351-IF(N351="",0,N351))</f>
        <v/>
      </c>
      <c r="Q351" s="14" t="str">
        <f aca="false">IFERROR(IF(P351="","",P351/K351),"")</f>
        <v/>
      </c>
      <c r="R351" s="6"/>
      <c r="S351" s="5"/>
      <c r="T351" s="15"/>
    </row>
    <row r="352" customFormat="false" ht="18" hidden="false" customHeight="true" outlineLevel="0" collapsed="false">
      <c r="A352" s="16" t="str">
        <f aca="false">IF(B352&lt;&gt;"",ROW()-2,"")</f>
        <v/>
      </c>
      <c r="B352" s="17"/>
      <c r="C352" s="17"/>
      <c r="D352" s="18"/>
      <c r="E352" s="19"/>
      <c r="F352" s="18"/>
      <c r="G352" s="20"/>
      <c r="H352" s="21"/>
      <c r="I352" s="21"/>
      <c r="J352" s="22"/>
      <c r="K352" s="23" t="str">
        <f aca="false">IF(H352*J352=0,"",H352*J352)</f>
        <v/>
      </c>
      <c r="L352" s="24"/>
      <c r="M352" s="24"/>
      <c r="N352" s="23" t="str">
        <f aca="false">IF(L352+M352=0,"",L352+M352)</f>
        <v/>
      </c>
      <c r="O352" s="25" t="str">
        <f aca="false">IF(OR(H352="",I352="",J352=""),"",IF(F352="Long",(I352-H352)*J352*IF(G352="",1,G352),(H352-I352)*J352*IF(G352="",1,G352)))</f>
        <v/>
      </c>
      <c r="P352" s="26" t="str">
        <f aca="false">IF(O352="","",O352-IF(N352="",0,N352))</f>
        <v/>
      </c>
      <c r="Q352" s="27" t="str">
        <f aca="false">IFERROR(IF(P352="","",P352/K352),"")</f>
        <v/>
      </c>
      <c r="R352" s="19"/>
      <c r="S352" s="18"/>
      <c r="T352" s="28"/>
    </row>
    <row r="353" customFormat="false" ht="18" hidden="false" customHeight="true" outlineLevel="0" collapsed="false">
      <c r="A353" s="3" t="str">
        <f aca="false">IF(B353&lt;&gt;"",ROW()-2,"")</f>
        <v/>
      </c>
      <c r="B353" s="4"/>
      <c r="C353" s="4"/>
      <c r="D353" s="5"/>
      <c r="E353" s="6"/>
      <c r="F353" s="5"/>
      <c r="G353" s="7"/>
      <c r="H353" s="8"/>
      <c r="I353" s="8"/>
      <c r="J353" s="9"/>
      <c r="K353" s="10" t="str">
        <f aca="false">IF(H353*J353=0,"",H353*J353)</f>
        <v/>
      </c>
      <c r="L353" s="11"/>
      <c r="M353" s="11"/>
      <c r="N353" s="10" t="str">
        <f aca="false">IF(L353+M353=0,"",L353+M353)</f>
        <v/>
      </c>
      <c r="O353" s="12" t="str">
        <f aca="false">IF(OR(H353="",I353="",J353=""),"",IF(F353="Long",(I353-H353)*J353*IF(G353="",1,G353),(H353-I353)*J353*IF(G353="",1,G353)))</f>
        <v/>
      </c>
      <c r="P353" s="13" t="str">
        <f aca="false">IF(O353="","",O353-IF(N353="",0,N353))</f>
        <v/>
      </c>
      <c r="Q353" s="14" t="str">
        <f aca="false">IFERROR(IF(P353="","",P353/K353),"")</f>
        <v/>
      </c>
      <c r="R353" s="6"/>
      <c r="S353" s="5"/>
      <c r="T353" s="15"/>
    </row>
    <row r="354" customFormat="false" ht="18" hidden="false" customHeight="true" outlineLevel="0" collapsed="false">
      <c r="A354" s="16" t="str">
        <f aca="false">IF(B354&lt;&gt;"",ROW()-2,"")</f>
        <v/>
      </c>
      <c r="B354" s="17"/>
      <c r="C354" s="17"/>
      <c r="D354" s="18"/>
      <c r="E354" s="19"/>
      <c r="F354" s="18"/>
      <c r="G354" s="20"/>
      <c r="H354" s="21"/>
      <c r="I354" s="21"/>
      <c r="J354" s="22"/>
      <c r="K354" s="23" t="str">
        <f aca="false">IF(H354*J354=0,"",H354*J354)</f>
        <v/>
      </c>
      <c r="L354" s="24"/>
      <c r="M354" s="24"/>
      <c r="N354" s="23" t="str">
        <f aca="false">IF(L354+M354=0,"",L354+M354)</f>
        <v/>
      </c>
      <c r="O354" s="25" t="str">
        <f aca="false">IF(OR(H354="",I354="",J354=""),"",IF(F354="Long",(I354-H354)*J354*IF(G354="",1,G354),(H354-I354)*J354*IF(G354="",1,G354)))</f>
        <v/>
      </c>
      <c r="P354" s="26" t="str">
        <f aca="false">IF(O354="","",O354-IF(N354="",0,N354))</f>
        <v/>
      </c>
      <c r="Q354" s="27" t="str">
        <f aca="false">IFERROR(IF(P354="","",P354/K354),"")</f>
        <v/>
      </c>
      <c r="R354" s="19"/>
      <c r="S354" s="18"/>
      <c r="T354" s="28"/>
    </row>
    <row r="355" customFormat="false" ht="18" hidden="false" customHeight="true" outlineLevel="0" collapsed="false">
      <c r="A355" s="3" t="str">
        <f aca="false">IF(B355&lt;&gt;"",ROW()-2,"")</f>
        <v/>
      </c>
      <c r="B355" s="4"/>
      <c r="C355" s="4"/>
      <c r="D355" s="5"/>
      <c r="E355" s="6"/>
      <c r="F355" s="5"/>
      <c r="G355" s="7"/>
      <c r="H355" s="8"/>
      <c r="I355" s="8"/>
      <c r="J355" s="9"/>
      <c r="K355" s="10" t="str">
        <f aca="false">IF(H355*J355=0,"",H355*J355)</f>
        <v/>
      </c>
      <c r="L355" s="11"/>
      <c r="M355" s="11"/>
      <c r="N355" s="10" t="str">
        <f aca="false">IF(L355+M355=0,"",L355+M355)</f>
        <v/>
      </c>
      <c r="O355" s="12" t="str">
        <f aca="false">IF(OR(H355="",I355="",J355=""),"",IF(F355="Long",(I355-H355)*J355*IF(G355="",1,G355),(H355-I355)*J355*IF(G355="",1,G355)))</f>
        <v/>
      </c>
      <c r="P355" s="13" t="str">
        <f aca="false">IF(O355="","",O355-IF(N355="",0,N355))</f>
        <v/>
      </c>
      <c r="Q355" s="14" t="str">
        <f aca="false">IFERROR(IF(P355="","",P355/K355),"")</f>
        <v/>
      </c>
      <c r="R355" s="6"/>
      <c r="S355" s="5"/>
      <c r="T355" s="15"/>
    </row>
    <row r="356" customFormat="false" ht="18" hidden="false" customHeight="true" outlineLevel="0" collapsed="false">
      <c r="A356" s="16" t="str">
        <f aca="false">IF(B356&lt;&gt;"",ROW()-2,"")</f>
        <v/>
      </c>
      <c r="B356" s="17"/>
      <c r="C356" s="17"/>
      <c r="D356" s="18"/>
      <c r="E356" s="19"/>
      <c r="F356" s="18"/>
      <c r="G356" s="20"/>
      <c r="H356" s="21"/>
      <c r="I356" s="21"/>
      <c r="J356" s="22"/>
      <c r="K356" s="23" t="str">
        <f aca="false">IF(H356*J356=0,"",H356*J356)</f>
        <v/>
      </c>
      <c r="L356" s="24"/>
      <c r="M356" s="24"/>
      <c r="N356" s="23" t="str">
        <f aca="false">IF(L356+M356=0,"",L356+M356)</f>
        <v/>
      </c>
      <c r="O356" s="25" t="str">
        <f aca="false">IF(OR(H356="",I356="",J356=""),"",IF(F356="Long",(I356-H356)*J356*IF(G356="",1,G356),(H356-I356)*J356*IF(G356="",1,G356)))</f>
        <v/>
      </c>
      <c r="P356" s="26" t="str">
        <f aca="false">IF(O356="","",O356-IF(N356="",0,N356))</f>
        <v/>
      </c>
      <c r="Q356" s="27" t="str">
        <f aca="false">IFERROR(IF(P356="","",P356/K356),"")</f>
        <v/>
      </c>
      <c r="R356" s="19"/>
      <c r="S356" s="18"/>
      <c r="T356" s="28"/>
    </row>
    <row r="357" customFormat="false" ht="18" hidden="false" customHeight="true" outlineLevel="0" collapsed="false">
      <c r="A357" s="3" t="str">
        <f aca="false">IF(B357&lt;&gt;"",ROW()-2,"")</f>
        <v/>
      </c>
      <c r="B357" s="4"/>
      <c r="C357" s="4"/>
      <c r="D357" s="5"/>
      <c r="E357" s="6"/>
      <c r="F357" s="5"/>
      <c r="G357" s="7"/>
      <c r="H357" s="8"/>
      <c r="I357" s="8"/>
      <c r="J357" s="9"/>
      <c r="K357" s="10" t="str">
        <f aca="false">IF(H357*J357=0,"",H357*J357)</f>
        <v/>
      </c>
      <c r="L357" s="11"/>
      <c r="M357" s="11"/>
      <c r="N357" s="10" t="str">
        <f aca="false">IF(L357+M357=0,"",L357+M357)</f>
        <v/>
      </c>
      <c r="O357" s="12" t="str">
        <f aca="false">IF(OR(H357="",I357="",J357=""),"",IF(F357="Long",(I357-H357)*J357*IF(G357="",1,G357),(H357-I357)*J357*IF(G357="",1,G357)))</f>
        <v/>
      </c>
      <c r="P357" s="13" t="str">
        <f aca="false">IF(O357="","",O357-IF(N357="",0,N357))</f>
        <v/>
      </c>
      <c r="Q357" s="14" t="str">
        <f aca="false">IFERROR(IF(P357="","",P357/K357),"")</f>
        <v/>
      </c>
      <c r="R357" s="6"/>
      <c r="S357" s="5"/>
      <c r="T357" s="15"/>
    </row>
    <row r="358" customFormat="false" ht="18" hidden="false" customHeight="true" outlineLevel="0" collapsed="false">
      <c r="A358" s="16" t="str">
        <f aca="false">IF(B358&lt;&gt;"",ROW()-2,"")</f>
        <v/>
      </c>
      <c r="B358" s="17"/>
      <c r="C358" s="17"/>
      <c r="D358" s="18"/>
      <c r="E358" s="19"/>
      <c r="F358" s="18"/>
      <c r="G358" s="20"/>
      <c r="H358" s="21"/>
      <c r="I358" s="21"/>
      <c r="J358" s="22"/>
      <c r="K358" s="23" t="str">
        <f aca="false">IF(H358*J358=0,"",H358*J358)</f>
        <v/>
      </c>
      <c r="L358" s="24"/>
      <c r="M358" s="24"/>
      <c r="N358" s="23" t="str">
        <f aca="false">IF(L358+M358=0,"",L358+M358)</f>
        <v/>
      </c>
      <c r="O358" s="25" t="str">
        <f aca="false">IF(OR(H358="",I358="",J358=""),"",IF(F358="Long",(I358-H358)*J358*IF(G358="",1,G358),(H358-I358)*J358*IF(G358="",1,G358)))</f>
        <v/>
      </c>
      <c r="P358" s="26" t="str">
        <f aca="false">IF(O358="","",O358-IF(N358="",0,N358))</f>
        <v/>
      </c>
      <c r="Q358" s="27" t="str">
        <f aca="false">IFERROR(IF(P358="","",P358/K358),"")</f>
        <v/>
      </c>
      <c r="R358" s="19"/>
      <c r="S358" s="18"/>
      <c r="T358" s="28"/>
    </row>
    <row r="359" customFormat="false" ht="18" hidden="false" customHeight="true" outlineLevel="0" collapsed="false">
      <c r="A359" s="3" t="str">
        <f aca="false">IF(B359&lt;&gt;"",ROW()-2,"")</f>
        <v/>
      </c>
      <c r="B359" s="4"/>
      <c r="C359" s="4"/>
      <c r="D359" s="5"/>
      <c r="E359" s="6"/>
      <c r="F359" s="5"/>
      <c r="G359" s="7"/>
      <c r="H359" s="8"/>
      <c r="I359" s="8"/>
      <c r="J359" s="9"/>
      <c r="K359" s="10" t="str">
        <f aca="false">IF(H359*J359=0,"",H359*J359)</f>
        <v/>
      </c>
      <c r="L359" s="11"/>
      <c r="M359" s="11"/>
      <c r="N359" s="10" t="str">
        <f aca="false">IF(L359+M359=0,"",L359+M359)</f>
        <v/>
      </c>
      <c r="O359" s="12" t="str">
        <f aca="false">IF(OR(H359="",I359="",J359=""),"",IF(F359="Long",(I359-H359)*J359*IF(G359="",1,G359),(H359-I359)*J359*IF(G359="",1,G359)))</f>
        <v/>
      </c>
      <c r="P359" s="13" t="str">
        <f aca="false">IF(O359="","",O359-IF(N359="",0,N359))</f>
        <v/>
      </c>
      <c r="Q359" s="14" t="str">
        <f aca="false">IFERROR(IF(P359="","",P359/K359),"")</f>
        <v/>
      </c>
      <c r="R359" s="6"/>
      <c r="S359" s="5"/>
      <c r="T359" s="15"/>
    </row>
    <row r="360" customFormat="false" ht="18" hidden="false" customHeight="true" outlineLevel="0" collapsed="false">
      <c r="A360" s="16" t="str">
        <f aca="false">IF(B360&lt;&gt;"",ROW()-2,"")</f>
        <v/>
      </c>
      <c r="B360" s="17"/>
      <c r="C360" s="17"/>
      <c r="D360" s="18"/>
      <c r="E360" s="19"/>
      <c r="F360" s="18"/>
      <c r="G360" s="20"/>
      <c r="H360" s="21"/>
      <c r="I360" s="21"/>
      <c r="J360" s="22"/>
      <c r="K360" s="23" t="str">
        <f aca="false">IF(H360*J360=0,"",H360*J360)</f>
        <v/>
      </c>
      <c r="L360" s="24"/>
      <c r="M360" s="24"/>
      <c r="N360" s="23" t="str">
        <f aca="false">IF(L360+M360=0,"",L360+M360)</f>
        <v/>
      </c>
      <c r="O360" s="25" t="str">
        <f aca="false">IF(OR(H360="",I360="",J360=""),"",IF(F360="Long",(I360-H360)*J360*IF(G360="",1,G360),(H360-I360)*J360*IF(G360="",1,G360)))</f>
        <v/>
      </c>
      <c r="P360" s="26" t="str">
        <f aca="false">IF(O360="","",O360-IF(N360="",0,N360))</f>
        <v/>
      </c>
      <c r="Q360" s="27" t="str">
        <f aca="false">IFERROR(IF(P360="","",P360/K360),"")</f>
        <v/>
      </c>
      <c r="R360" s="19"/>
      <c r="S360" s="18"/>
      <c r="T360" s="28"/>
    </row>
    <row r="361" customFormat="false" ht="18" hidden="false" customHeight="true" outlineLevel="0" collapsed="false">
      <c r="A361" s="3" t="str">
        <f aca="false">IF(B361&lt;&gt;"",ROW()-2,"")</f>
        <v/>
      </c>
      <c r="B361" s="4"/>
      <c r="C361" s="4"/>
      <c r="D361" s="5"/>
      <c r="E361" s="6"/>
      <c r="F361" s="5"/>
      <c r="G361" s="7"/>
      <c r="H361" s="8"/>
      <c r="I361" s="8"/>
      <c r="J361" s="9"/>
      <c r="K361" s="10" t="str">
        <f aca="false">IF(H361*J361=0,"",H361*J361)</f>
        <v/>
      </c>
      <c r="L361" s="11"/>
      <c r="M361" s="11"/>
      <c r="N361" s="10" t="str">
        <f aca="false">IF(L361+M361=0,"",L361+M361)</f>
        <v/>
      </c>
      <c r="O361" s="12" t="str">
        <f aca="false">IF(OR(H361="",I361="",J361=""),"",IF(F361="Long",(I361-H361)*J361*IF(G361="",1,G361),(H361-I361)*J361*IF(G361="",1,G361)))</f>
        <v/>
      </c>
      <c r="P361" s="13" t="str">
        <f aca="false">IF(O361="","",O361-IF(N361="",0,N361))</f>
        <v/>
      </c>
      <c r="Q361" s="14" t="str">
        <f aca="false">IFERROR(IF(P361="","",P361/K361),"")</f>
        <v/>
      </c>
      <c r="R361" s="6"/>
      <c r="S361" s="5"/>
      <c r="T361" s="15"/>
    </row>
    <row r="362" customFormat="false" ht="18" hidden="false" customHeight="true" outlineLevel="0" collapsed="false">
      <c r="A362" s="16" t="str">
        <f aca="false">IF(B362&lt;&gt;"",ROW()-2,"")</f>
        <v/>
      </c>
      <c r="B362" s="17"/>
      <c r="C362" s="17"/>
      <c r="D362" s="18"/>
      <c r="E362" s="19"/>
      <c r="F362" s="18"/>
      <c r="G362" s="20"/>
      <c r="H362" s="21"/>
      <c r="I362" s="21"/>
      <c r="J362" s="22"/>
      <c r="K362" s="23" t="str">
        <f aca="false">IF(H362*J362=0,"",H362*J362)</f>
        <v/>
      </c>
      <c r="L362" s="24"/>
      <c r="M362" s="24"/>
      <c r="N362" s="23" t="str">
        <f aca="false">IF(L362+M362=0,"",L362+M362)</f>
        <v/>
      </c>
      <c r="O362" s="25" t="str">
        <f aca="false">IF(OR(H362="",I362="",J362=""),"",IF(F362="Long",(I362-H362)*J362*IF(G362="",1,G362),(H362-I362)*J362*IF(G362="",1,G362)))</f>
        <v/>
      </c>
      <c r="P362" s="26" t="str">
        <f aca="false">IF(O362="","",O362-IF(N362="",0,N362))</f>
        <v/>
      </c>
      <c r="Q362" s="27" t="str">
        <f aca="false">IFERROR(IF(P362="","",P362/K362),"")</f>
        <v/>
      </c>
      <c r="R362" s="19"/>
      <c r="S362" s="18"/>
      <c r="T362" s="28"/>
    </row>
    <row r="363" customFormat="false" ht="18" hidden="false" customHeight="true" outlineLevel="0" collapsed="false">
      <c r="A363" s="3" t="str">
        <f aca="false">IF(B363&lt;&gt;"",ROW()-2,"")</f>
        <v/>
      </c>
      <c r="B363" s="4"/>
      <c r="C363" s="4"/>
      <c r="D363" s="5"/>
      <c r="E363" s="6"/>
      <c r="F363" s="5"/>
      <c r="G363" s="7"/>
      <c r="H363" s="8"/>
      <c r="I363" s="8"/>
      <c r="J363" s="9"/>
      <c r="K363" s="10" t="str">
        <f aca="false">IF(H363*J363=0,"",H363*J363)</f>
        <v/>
      </c>
      <c r="L363" s="11"/>
      <c r="M363" s="11"/>
      <c r="N363" s="10" t="str">
        <f aca="false">IF(L363+M363=0,"",L363+M363)</f>
        <v/>
      </c>
      <c r="O363" s="12" t="str">
        <f aca="false">IF(OR(H363="",I363="",J363=""),"",IF(F363="Long",(I363-H363)*J363*IF(G363="",1,G363),(H363-I363)*J363*IF(G363="",1,G363)))</f>
        <v/>
      </c>
      <c r="P363" s="13" t="str">
        <f aca="false">IF(O363="","",O363-IF(N363="",0,N363))</f>
        <v/>
      </c>
      <c r="Q363" s="14" t="str">
        <f aca="false">IFERROR(IF(P363="","",P363/K363),"")</f>
        <v/>
      </c>
      <c r="R363" s="6"/>
      <c r="S363" s="5"/>
      <c r="T363" s="15"/>
    </row>
    <row r="364" customFormat="false" ht="18" hidden="false" customHeight="true" outlineLevel="0" collapsed="false">
      <c r="A364" s="16" t="str">
        <f aca="false">IF(B364&lt;&gt;"",ROW()-2,"")</f>
        <v/>
      </c>
      <c r="B364" s="17"/>
      <c r="C364" s="17"/>
      <c r="D364" s="18"/>
      <c r="E364" s="19"/>
      <c r="F364" s="18"/>
      <c r="G364" s="20"/>
      <c r="H364" s="21"/>
      <c r="I364" s="21"/>
      <c r="J364" s="22"/>
      <c r="K364" s="23" t="str">
        <f aca="false">IF(H364*J364=0,"",H364*J364)</f>
        <v/>
      </c>
      <c r="L364" s="24"/>
      <c r="M364" s="24"/>
      <c r="N364" s="23" t="str">
        <f aca="false">IF(L364+M364=0,"",L364+M364)</f>
        <v/>
      </c>
      <c r="O364" s="25" t="str">
        <f aca="false">IF(OR(H364="",I364="",J364=""),"",IF(F364="Long",(I364-H364)*J364*IF(G364="",1,G364),(H364-I364)*J364*IF(G364="",1,G364)))</f>
        <v/>
      </c>
      <c r="P364" s="26" t="str">
        <f aca="false">IF(O364="","",O364-IF(N364="",0,N364))</f>
        <v/>
      </c>
      <c r="Q364" s="27" t="str">
        <f aca="false">IFERROR(IF(P364="","",P364/K364),"")</f>
        <v/>
      </c>
      <c r="R364" s="19"/>
      <c r="S364" s="18"/>
      <c r="T364" s="28"/>
    </row>
    <row r="365" customFormat="false" ht="18" hidden="false" customHeight="true" outlineLevel="0" collapsed="false">
      <c r="A365" s="3" t="str">
        <f aca="false">IF(B365&lt;&gt;"",ROW()-2,"")</f>
        <v/>
      </c>
      <c r="B365" s="4"/>
      <c r="C365" s="4"/>
      <c r="D365" s="5"/>
      <c r="E365" s="6"/>
      <c r="F365" s="5"/>
      <c r="G365" s="7"/>
      <c r="H365" s="8"/>
      <c r="I365" s="8"/>
      <c r="J365" s="9"/>
      <c r="K365" s="10" t="str">
        <f aca="false">IF(H365*J365=0,"",H365*J365)</f>
        <v/>
      </c>
      <c r="L365" s="11"/>
      <c r="M365" s="11"/>
      <c r="N365" s="10" t="str">
        <f aca="false">IF(L365+M365=0,"",L365+M365)</f>
        <v/>
      </c>
      <c r="O365" s="12" t="str">
        <f aca="false">IF(OR(H365="",I365="",J365=""),"",IF(F365="Long",(I365-H365)*J365*IF(G365="",1,G365),(H365-I365)*J365*IF(G365="",1,G365)))</f>
        <v/>
      </c>
      <c r="P365" s="13" t="str">
        <f aca="false">IF(O365="","",O365-IF(N365="",0,N365))</f>
        <v/>
      </c>
      <c r="Q365" s="14" t="str">
        <f aca="false">IFERROR(IF(P365="","",P365/K365),"")</f>
        <v/>
      </c>
      <c r="R365" s="6"/>
      <c r="S365" s="5"/>
      <c r="T365" s="15"/>
    </row>
    <row r="366" customFormat="false" ht="18" hidden="false" customHeight="true" outlineLevel="0" collapsed="false">
      <c r="A366" s="16" t="str">
        <f aca="false">IF(B366&lt;&gt;"",ROW()-2,"")</f>
        <v/>
      </c>
      <c r="B366" s="17"/>
      <c r="C366" s="17"/>
      <c r="D366" s="18"/>
      <c r="E366" s="19"/>
      <c r="F366" s="18"/>
      <c r="G366" s="20"/>
      <c r="H366" s="21"/>
      <c r="I366" s="21"/>
      <c r="J366" s="22"/>
      <c r="K366" s="23" t="str">
        <f aca="false">IF(H366*J366=0,"",H366*J366)</f>
        <v/>
      </c>
      <c r="L366" s="24"/>
      <c r="M366" s="24"/>
      <c r="N366" s="23" t="str">
        <f aca="false">IF(L366+M366=0,"",L366+M366)</f>
        <v/>
      </c>
      <c r="O366" s="25" t="str">
        <f aca="false">IF(OR(H366="",I366="",J366=""),"",IF(F366="Long",(I366-H366)*J366*IF(G366="",1,G366),(H366-I366)*J366*IF(G366="",1,G366)))</f>
        <v/>
      </c>
      <c r="P366" s="26" t="str">
        <f aca="false">IF(O366="","",O366-IF(N366="",0,N366))</f>
        <v/>
      </c>
      <c r="Q366" s="27" t="str">
        <f aca="false">IFERROR(IF(P366="","",P366/K366),"")</f>
        <v/>
      </c>
      <c r="R366" s="19"/>
      <c r="S366" s="18"/>
      <c r="T366" s="28"/>
    </row>
    <row r="367" customFormat="false" ht="18" hidden="false" customHeight="true" outlineLevel="0" collapsed="false">
      <c r="A367" s="3" t="str">
        <f aca="false">IF(B367&lt;&gt;"",ROW()-2,"")</f>
        <v/>
      </c>
      <c r="B367" s="4"/>
      <c r="C367" s="4"/>
      <c r="D367" s="5"/>
      <c r="E367" s="6"/>
      <c r="F367" s="5"/>
      <c r="G367" s="7"/>
      <c r="H367" s="8"/>
      <c r="I367" s="8"/>
      <c r="J367" s="9"/>
      <c r="K367" s="10" t="str">
        <f aca="false">IF(H367*J367=0,"",H367*J367)</f>
        <v/>
      </c>
      <c r="L367" s="11"/>
      <c r="M367" s="11"/>
      <c r="N367" s="10" t="str">
        <f aca="false">IF(L367+M367=0,"",L367+M367)</f>
        <v/>
      </c>
      <c r="O367" s="12" t="str">
        <f aca="false">IF(OR(H367="",I367="",J367=""),"",IF(F367="Long",(I367-H367)*J367*IF(G367="",1,G367),(H367-I367)*J367*IF(G367="",1,G367)))</f>
        <v/>
      </c>
      <c r="P367" s="13" t="str">
        <f aca="false">IF(O367="","",O367-IF(N367="",0,N367))</f>
        <v/>
      </c>
      <c r="Q367" s="14" t="str">
        <f aca="false">IFERROR(IF(P367="","",P367/K367),"")</f>
        <v/>
      </c>
      <c r="R367" s="6"/>
      <c r="S367" s="5"/>
      <c r="T367" s="15"/>
    </row>
    <row r="368" customFormat="false" ht="18" hidden="false" customHeight="true" outlineLevel="0" collapsed="false">
      <c r="A368" s="16" t="str">
        <f aca="false">IF(B368&lt;&gt;"",ROW()-2,"")</f>
        <v/>
      </c>
      <c r="B368" s="17"/>
      <c r="C368" s="17"/>
      <c r="D368" s="18"/>
      <c r="E368" s="19"/>
      <c r="F368" s="18"/>
      <c r="G368" s="20"/>
      <c r="H368" s="21"/>
      <c r="I368" s="21"/>
      <c r="J368" s="22"/>
      <c r="K368" s="23" t="str">
        <f aca="false">IF(H368*J368=0,"",H368*J368)</f>
        <v/>
      </c>
      <c r="L368" s="24"/>
      <c r="M368" s="24"/>
      <c r="N368" s="23" t="str">
        <f aca="false">IF(L368+M368=0,"",L368+M368)</f>
        <v/>
      </c>
      <c r="O368" s="25" t="str">
        <f aca="false">IF(OR(H368="",I368="",J368=""),"",IF(F368="Long",(I368-H368)*J368*IF(G368="",1,G368),(H368-I368)*J368*IF(G368="",1,G368)))</f>
        <v/>
      </c>
      <c r="P368" s="26" t="str">
        <f aca="false">IF(O368="","",O368-IF(N368="",0,N368))</f>
        <v/>
      </c>
      <c r="Q368" s="27" t="str">
        <f aca="false">IFERROR(IF(P368="","",P368/K368),"")</f>
        <v/>
      </c>
      <c r="R368" s="19"/>
      <c r="S368" s="18"/>
      <c r="T368" s="28"/>
    </row>
    <row r="369" customFormat="false" ht="18" hidden="false" customHeight="true" outlineLevel="0" collapsed="false">
      <c r="A369" s="3" t="str">
        <f aca="false">IF(B369&lt;&gt;"",ROW()-2,"")</f>
        <v/>
      </c>
      <c r="B369" s="4"/>
      <c r="C369" s="4"/>
      <c r="D369" s="5"/>
      <c r="E369" s="6"/>
      <c r="F369" s="5"/>
      <c r="G369" s="7"/>
      <c r="H369" s="8"/>
      <c r="I369" s="8"/>
      <c r="J369" s="9"/>
      <c r="K369" s="10" t="str">
        <f aca="false">IF(H369*J369=0,"",H369*J369)</f>
        <v/>
      </c>
      <c r="L369" s="11"/>
      <c r="M369" s="11"/>
      <c r="N369" s="10" t="str">
        <f aca="false">IF(L369+M369=0,"",L369+M369)</f>
        <v/>
      </c>
      <c r="O369" s="12" t="str">
        <f aca="false">IF(OR(H369="",I369="",J369=""),"",IF(F369="Long",(I369-H369)*J369*IF(G369="",1,G369),(H369-I369)*J369*IF(G369="",1,G369)))</f>
        <v/>
      </c>
      <c r="P369" s="13" t="str">
        <f aca="false">IF(O369="","",O369-IF(N369="",0,N369))</f>
        <v/>
      </c>
      <c r="Q369" s="14" t="str">
        <f aca="false">IFERROR(IF(P369="","",P369/K369),"")</f>
        <v/>
      </c>
      <c r="R369" s="6"/>
      <c r="S369" s="5"/>
      <c r="T369" s="15"/>
    </row>
    <row r="370" customFormat="false" ht="18" hidden="false" customHeight="true" outlineLevel="0" collapsed="false">
      <c r="A370" s="16" t="str">
        <f aca="false">IF(B370&lt;&gt;"",ROW()-2,"")</f>
        <v/>
      </c>
      <c r="B370" s="17"/>
      <c r="C370" s="17"/>
      <c r="D370" s="18"/>
      <c r="E370" s="19"/>
      <c r="F370" s="18"/>
      <c r="G370" s="20"/>
      <c r="H370" s="21"/>
      <c r="I370" s="21"/>
      <c r="J370" s="22"/>
      <c r="K370" s="23" t="str">
        <f aca="false">IF(H370*J370=0,"",H370*J370)</f>
        <v/>
      </c>
      <c r="L370" s="24"/>
      <c r="M370" s="24"/>
      <c r="N370" s="23" t="str">
        <f aca="false">IF(L370+M370=0,"",L370+M370)</f>
        <v/>
      </c>
      <c r="O370" s="25" t="str">
        <f aca="false">IF(OR(H370="",I370="",J370=""),"",IF(F370="Long",(I370-H370)*J370*IF(G370="",1,G370),(H370-I370)*J370*IF(G370="",1,G370)))</f>
        <v/>
      </c>
      <c r="P370" s="26" t="str">
        <f aca="false">IF(O370="","",O370-IF(N370="",0,N370))</f>
        <v/>
      </c>
      <c r="Q370" s="27" t="str">
        <f aca="false">IFERROR(IF(P370="","",P370/K370),"")</f>
        <v/>
      </c>
      <c r="R370" s="19"/>
      <c r="S370" s="18"/>
      <c r="T370" s="28"/>
    </row>
    <row r="371" customFormat="false" ht="18" hidden="false" customHeight="true" outlineLevel="0" collapsed="false">
      <c r="A371" s="3" t="str">
        <f aca="false">IF(B371&lt;&gt;"",ROW()-2,"")</f>
        <v/>
      </c>
      <c r="B371" s="4"/>
      <c r="C371" s="4"/>
      <c r="D371" s="5"/>
      <c r="E371" s="6"/>
      <c r="F371" s="5"/>
      <c r="G371" s="7"/>
      <c r="H371" s="8"/>
      <c r="I371" s="8"/>
      <c r="J371" s="9"/>
      <c r="K371" s="10" t="str">
        <f aca="false">IF(H371*J371=0,"",H371*J371)</f>
        <v/>
      </c>
      <c r="L371" s="11"/>
      <c r="M371" s="11"/>
      <c r="N371" s="10" t="str">
        <f aca="false">IF(L371+M371=0,"",L371+M371)</f>
        <v/>
      </c>
      <c r="O371" s="12" t="str">
        <f aca="false">IF(OR(H371="",I371="",J371=""),"",IF(F371="Long",(I371-H371)*J371*IF(G371="",1,G371),(H371-I371)*J371*IF(G371="",1,G371)))</f>
        <v/>
      </c>
      <c r="P371" s="13" t="str">
        <f aca="false">IF(O371="","",O371-IF(N371="",0,N371))</f>
        <v/>
      </c>
      <c r="Q371" s="14" t="str">
        <f aca="false">IFERROR(IF(P371="","",P371/K371),"")</f>
        <v/>
      </c>
      <c r="R371" s="6"/>
      <c r="S371" s="5"/>
      <c r="T371" s="15"/>
    </row>
    <row r="372" customFormat="false" ht="18" hidden="false" customHeight="true" outlineLevel="0" collapsed="false">
      <c r="A372" s="16" t="str">
        <f aca="false">IF(B372&lt;&gt;"",ROW()-2,"")</f>
        <v/>
      </c>
      <c r="B372" s="17"/>
      <c r="C372" s="17"/>
      <c r="D372" s="18"/>
      <c r="E372" s="19"/>
      <c r="F372" s="18"/>
      <c r="G372" s="20"/>
      <c r="H372" s="21"/>
      <c r="I372" s="21"/>
      <c r="J372" s="22"/>
      <c r="K372" s="23" t="str">
        <f aca="false">IF(H372*J372=0,"",H372*J372)</f>
        <v/>
      </c>
      <c r="L372" s="24"/>
      <c r="M372" s="24"/>
      <c r="N372" s="23" t="str">
        <f aca="false">IF(L372+M372=0,"",L372+M372)</f>
        <v/>
      </c>
      <c r="O372" s="25" t="str">
        <f aca="false">IF(OR(H372="",I372="",J372=""),"",IF(F372="Long",(I372-H372)*J372*IF(G372="",1,G372),(H372-I372)*J372*IF(G372="",1,G372)))</f>
        <v/>
      </c>
      <c r="P372" s="26" t="str">
        <f aca="false">IF(O372="","",O372-IF(N372="",0,N372))</f>
        <v/>
      </c>
      <c r="Q372" s="27" t="str">
        <f aca="false">IFERROR(IF(P372="","",P372/K372),"")</f>
        <v/>
      </c>
      <c r="R372" s="19"/>
      <c r="S372" s="18"/>
      <c r="T372" s="28"/>
    </row>
    <row r="373" customFormat="false" ht="18" hidden="false" customHeight="true" outlineLevel="0" collapsed="false">
      <c r="A373" s="3" t="str">
        <f aca="false">IF(B373&lt;&gt;"",ROW()-2,"")</f>
        <v/>
      </c>
      <c r="B373" s="4"/>
      <c r="C373" s="4"/>
      <c r="D373" s="5"/>
      <c r="E373" s="6"/>
      <c r="F373" s="5"/>
      <c r="G373" s="7"/>
      <c r="H373" s="8"/>
      <c r="I373" s="8"/>
      <c r="J373" s="9"/>
      <c r="K373" s="10" t="str">
        <f aca="false">IF(H373*J373=0,"",H373*J373)</f>
        <v/>
      </c>
      <c r="L373" s="11"/>
      <c r="M373" s="11"/>
      <c r="N373" s="10" t="str">
        <f aca="false">IF(L373+M373=0,"",L373+M373)</f>
        <v/>
      </c>
      <c r="O373" s="12" t="str">
        <f aca="false">IF(OR(H373="",I373="",J373=""),"",IF(F373="Long",(I373-H373)*J373*IF(G373="",1,G373),(H373-I373)*J373*IF(G373="",1,G373)))</f>
        <v/>
      </c>
      <c r="P373" s="13" t="str">
        <f aca="false">IF(O373="","",O373-IF(N373="",0,N373))</f>
        <v/>
      </c>
      <c r="Q373" s="14" t="str">
        <f aca="false">IFERROR(IF(P373="","",P373/K373),"")</f>
        <v/>
      </c>
      <c r="R373" s="6"/>
      <c r="S373" s="5"/>
      <c r="T373" s="15"/>
    </row>
    <row r="374" customFormat="false" ht="18" hidden="false" customHeight="true" outlineLevel="0" collapsed="false">
      <c r="A374" s="16" t="str">
        <f aca="false">IF(B374&lt;&gt;"",ROW()-2,"")</f>
        <v/>
      </c>
      <c r="B374" s="17"/>
      <c r="C374" s="17"/>
      <c r="D374" s="18"/>
      <c r="E374" s="19"/>
      <c r="F374" s="18"/>
      <c r="G374" s="20"/>
      <c r="H374" s="21"/>
      <c r="I374" s="21"/>
      <c r="J374" s="22"/>
      <c r="K374" s="23" t="str">
        <f aca="false">IF(H374*J374=0,"",H374*J374)</f>
        <v/>
      </c>
      <c r="L374" s="24"/>
      <c r="M374" s="24"/>
      <c r="N374" s="23" t="str">
        <f aca="false">IF(L374+M374=0,"",L374+M374)</f>
        <v/>
      </c>
      <c r="O374" s="25" t="str">
        <f aca="false">IF(OR(H374="",I374="",J374=""),"",IF(F374="Long",(I374-H374)*J374*IF(G374="",1,G374),(H374-I374)*J374*IF(G374="",1,G374)))</f>
        <v/>
      </c>
      <c r="P374" s="26" t="str">
        <f aca="false">IF(O374="","",O374-IF(N374="",0,N374))</f>
        <v/>
      </c>
      <c r="Q374" s="27" t="str">
        <f aca="false">IFERROR(IF(P374="","",P374/K374),"")</f>
        <v/>
      </c>
      <c r="R374" s="19"/>
      <c r="S374" s="18"/>
      <c r="T374" s="28"/>
    </row>
    <row r="375" customFormat="false" ht="18" hidden="false" customHeight="true" outlineLevel="0" collapsed="false">
      <c r="A375" s="3" t="str">
        <f aca="false">IF(B375&lt;&gt;"",ROW()-2,"")</f>
        <v/>
      </c>
      <c r="B375" s="4"/>
      <c r="C375" s="4"/>
      <c r="D375" s="5"/>
      <c r="E375" s="6"/>
      <c r="F375" s="5"/>
      <c r="G375" s="7"/>
      <c r="H375" s="8"/>
      <c r="I375" s="8"/>
      <c r="J375" s="9"/>
      <c r="K375" s="10" t="str">
        <f aca="false">IF(H375*J375=0,"",H375*J375)</f>
        <v/>
      </c>
      <c r="L375" s="11"/>
      <c r="M375" s="11"/>
      <c r="N375" s="10" t="str">
        <f aca="false">IF(L375+M375=0,"",L375+M375)</f>
        <v/>
      </c>
      <c r="O375" s="12" t="str">
        <f aca="false">IF(OR(H375="",I375="",J375=""),"",IF(F375="Long",(I375-H375)*J375*IF(G375="",1,G375),(H375-I375)*J375*IF(G375="",1,G375)))</f>
        <v/>
      </c>
      <c r="P375" s="13" t="str">
        <f aca="false">IF(O375="","",O375-IF(N375="",0,N375))</f>
        <v/>
      </c>
      <c r="Q375" s="14" t="str">
        <f aca="false">IFERROR(IF(P375="","",P375/K375),"")</f>
        <v/>
      </c>
      <c r="R375" s="6"/>
      <c r="S375" s="5"/>
      <c r="T375" s="15"/>
    </row>
    <row r="376" customFormat="false" ht="18" hidden="false" customHeight="true" outlineLevel="0" collapsed="false">
      <c r="A376" s="16" t="str">
        <f aca="false">IF(B376&lt;&gt;"",ROW()-2,"")</f>
        <v/>
      </c>
      <c r="B376" s="17"/>
      <c r="C376" s="17"/>
      <c r="D376" s="18"/>
      <c r="E376" s="19"/>
      <c r="F376" s="18"/>
      <c r="G376" s="20"/>
      <c r="H376" s="21"/>
      <c r="I376" s="21"/>
      <c r="J376" s="22"/>
      <c r="K376" s="23" t="str">
        <f aca="false">IF(H376*J376=0,"",H376*J376)</f>
        <v/>
      </c>
      <c r="L376" s="24"/>
      <c r="M376" s="24"/>
      <c r="N376" s="23" t="str">
        <f aca="false">IF(L376+M376=0,"",L376+M376)</f>
        <v/>
      </c>
      <c r="O376" s="25" t="str">
        <f aca="false">IF(OR(H376="",I376="",J376=""),"",IF(F376="Long",(I376-H376)*J376*IF(G376="",1,G376),(H376-I376)*J376*IF(G376="",1,G376)))</f>
        <v/>
      </c>
      <c r="P376" s="26" t="str">
        <f aca="false">IF(O376="","",O376-IF(N376="",0,N376))</f>
        <v/>
      </c>
      <c r="Q376" s="27" t="str">
        <f aca="false">IFERROR(IF(P376="","",P376/K376),"")</f>
        <v/>
      </c>
      <c r="R376" s="19"/>
      <c r="S376" s="18"/>
      <c r="T376" s="28"/>
    </row>
    <row r="377" customFormat="false" ht="18" hidden="false" customHeight="true" outlineLevel="0" collapsed="false">
      <c r="A377" s="3" t="str">
        <f aca="false">IF(B377&lt;&gt;"",ROW()-2,"")</f>
        <v/>
      </c>
      <c r="B377" s="4"/>
      <c r="C377" s="4"/>
      <c r="D377" s="5"/>
      <c r="E377" s="6"/>
      <c r="F377" s="5"/>
      <c r="G377" s="7"/>
      <c r="H377" s="8"/>
      <c r="I377" s="8"/>
      <c r="J377" s="9"/>
      <c r="K377" s="10" t="str">
        <f aca="false">IF(H377*J377=0,"",H377*J377)</f>
        <v/>
      </c>
      <c r="L377" s="11"/>
      <c r="M377" s="11"/>
      <c r="N377" s="10" t="str">
        <f aca="false">IF(L377+M377=0,"",L377+M377)</f>
        <v/>
      </c>
      <c r="O377" s="12" t="str">
        <f aca="false">IF(OR(H377="",I377="",J377=""),"",IF(F377="Long",(I377-H377)*J377*IF(G377="",1,G377),(H377-I377)*J377*IF(G377="",1,G377)))</f>
        <v/>
      </c>
      <c r="P377" s="13" t="str">
        <f aca="false">IF(O377="","",O377-IF(N377="",0,N377))</f>
        <v/>
      </c>
      <c r="Q377" s="14" t="str">
        <f aca="false">IFERROR(IF(P377="","",P377/K377),"")</f>
        <v/>
      </c>
      <c r="R377" s="6"/>
      <c r="S377" s="5"/>
      <c r="T377" s="15"/>
    </row>
    <row r="378" customFormat="false" ht="18" hidden="false" customHeight="true" outlineLevel="0" collapsed="false">
      <c r="A378" s="16" t="str">
        <f aca="false">IF(B378&lt;&gt;"",ROW()-2,"")</f>
        <v/>
      </c>
      <c r="B378" s="17"/>
      <c r="C378" s="17"/>
      <c r="D378" s="18"/>
      <c r="E378" s="19"/>
      <c r="F378" s="18"/>
      <c r="G378" s="20"/>
      <c r="H378" s="21"/>
      <c r="I378" s="21"/>
      <c r="J378" s="22"/>
      <c r="K378" s="23" t="str">
        <f aca="false">IF(H378*J378=0,"",H378*J378)</f>
        <v/>
      </c>
      <c r="L378" s="24"/>
      <c r="M378" s="24"/>
      <c r="N378" s="23" t="str">
        <f aca="false">IF(L378+M378=0,"",L378+M378)</f>
        <v/>
      </c>
      <c r="O378" s="25" t="str">
        <f aca="false">IF(OR(H378="",I378="",J378=""),"",IF(F378="Long",(I378-H378)*J378*IF(G378="",1,G378),(H378-I378)*J378*IF(G378="",1,G378)))</f>
        <v/>
      </c>
      <c r="P378" s="26" t="str">
        <f aca="false">IF(O378="","",O378-IF(N378="",0,N378))</f>
        <v/>
      </c>
      <c r="Q378" s="27" t="str">
        <f aca="false">IFERROR(IF(P378="","",P378/K378),"")</f>
        <v/>
      </c>
      <c r="R378" s="19"/>
      <c r="S378" s="18"/>
      <c r="T378" s="28"/>
    </row>
    <row r="379" customFormat="false" ht="18" hidden="false" customHeight="true" outlineLevel="0" collapsed="false">
      <c r="A379" s="3" t="str">
        <f aca="false">IF(B379&lt;&gt;"",ROW()-2,"")</f>
        <v/>
      </c>
      <c r="B379" s="4"/>
      <c r="C379" s="4"/>
      <c r="D379" s="5"/>
      <c r="E379" s="6"/>
      <c r="F379" s="5"/>
      <c r="G379" s="7"/>
      <c r="H379" s="8"/>
      <c r="I379" s="8"/>
      <c r="J379" s="9"/>
      <c r="K379" s="10" t="str">
        <f aca="false">IF(H379*J379=0,"",H379*J379)</f>
        <v/>
      </c>
      <c r="L379" s="11"/>
      <c r="M379" s="11"/>
      <c r="N379" s="10" t="str">
        <f aca="false">IF(L379+M379=0,"",L379+M379)</f>
        <v/>
      </c>
      <c r="O379" s="12" t="str">
        <f aca="false">IF(OR(H379="",I379="",J379=""),"",IF(F379="Long",(I379-H379)*J379*IF(G379="",1,G379),(H379-I379)*J379*IF(G379="",1,G379)))</f>
        <v/>
      </c>
      <c r="P379" s="13" t="str">
        <f aca="false">IF(O379="","",O379-IF(N379="",0,N379))</f>
        <v/>
      </c>
      <c r="Q379" s="14" t="str">
        <f aca="false">IFERROR(IF(P379="","",P379/K379),"")</f>
        <v/>
      </c>
      <c r="R379" s="6"/>
      <c r="S379" s="5"/>
      <c r="T379" s="15"/>
    </row>
    <row r="380" customFormat="false" ht="18" hidden="false" customHeight="true" outlineLevel="0" collapsed="false">
      <c r="A380" s="16" t="str">
        <f aca="false">IF(B380&lt;&gt;"",ROW()-2,"")</f>
        <v/>
      </c>
      <c r="B380" s="17"/>
      <c r="C380" s="17"/>
      <c r="D380" s="18"/>
      <c r="E380" s="19"/>
      <c r="F380" s="18"/>
      <c r="G380" s="20"/>
      <c r="H380" s="21"/>
      <c r="I380" s="21"/>
      <c r="J380" s="22"/>
      <c r="K380" s="23" t="str">
        <f aca="false">IF(H380*J380=0,"",H380*J380)</f>
        <v/>
      </c>
      <c r="L380" s="24"/>
      <c r="M380" s="24"/>
      <c r="N380" s="23" t="str">
        <f aca="false">IF(L380+M380=0,"",L380+M380)</f>
        <v/>
      </c>
      <c r="O380" s="25" t="str">
        <f aca="false">IF(OR(H380="",I380="",J380=""),"",IF(F380="Long",(I380-H380)*J380*IF(G380="",1,G380),(H380-I380)*J380*IF(G380="",1,G380)))</f>
        <v/>
      </c>
      <c r="P380" s="26" t="str">
        <f aca="false">IF(O380="","",O380-IF(N380="",0,N380))</f>
        <v/>
      </c>
      <c r="Q380" s="27" t="str">
        <f aca="false">IFERROR(IF(P380="","",P380/K380),"")</f>
        <v/>
      </c>
      <c r="R380" s="19"/>
      <c r="S380" s="18"/>
      <c r="T380" s="28"/>
    </row>
    <row r="381" customFormat="false" ht="18" hidden="false" customHeight="true" outlineLevel="0" collapsed="false">
      <c r="A381" s="3" t="str">
        <f aca="false">IF(B381&lt;&gt;"",ROW()-2,"")</f>
        <v/>
      </c>
      <c r="B381" s="4"/>
      <c r="C381" s="4"/>
      <c r="D381" s="5"/>
      <c r="E381" s="6"/>
      <c r="F381" s="5"/>
      <c r="G381" s="7"/>
      <c r="H381" s="8"/>
      <c r="I381" s="8"/>
      <c r="J381" s="9"/>
      <c r="K381" s="10" t="str">
        <f aca="false">IF(H381*J381=0,"",H381*J381)</f>
        <v/>
      </c>
      <c r="L381" s="11"/>
      <c r="M381" s="11"/>
      <c r="N381" s="10" t="str">
        <f aca="false">IF(L381+M381=0,"",L381+M381)</f>
        <v/>
      </c>
      <c r="O381" s="12" t="str">
        <f aca="false">IF(OR(H381="",I381="",J381=""),"",IF(F381="Long",(I381-H381)*J381*IF(G381="",1,G381),(H381-I381)*J381*IF(G381="",1,G381)))</f>
        <v/>
      </c>
      <c r="P381" s="13" t="str">
        <f aca="false">IF(O381="","",O381-IF(N381="",0,N381))</f>
        <v/>
      </c>
      <c r="Q381" s="14" t="str">
        <f aca="false">IFERROR(IF(P381="","",P381/K381),"")</f>
        <v/>
      </c>
      <c r="R381" s="6"/>
      <c r="S381" s="5"/>
      <c r="T381" s="15"/>
    </row>
    <row r="382" customFormat="false" ht="18" hidden="false" customHeight="true" outlineLevel="0" collapsed="false">
      <c r="A382" s="16" t="str">
        <f aca="false">IF(B382&lt;&gt;"",ROW()-2,"")</f>
        <v/>
      </c>
      <c r="B382" s="17"/>
      <c r="C382" s="17"/>
      <c r="D382" s="18"/>
      <c r="E382" s="19"/>
      <c r="F382" s="18"/>
      <c r="G382" s="20"/>
      <c r="H382" s="21"/>
      <c r="I382" s="21"/>
      <c r="J382" s="22"/>
      <c r="K382" s="23" t="str">
        <f aca="false">IF(H382*J382=0,"",H382*J382)</f>
        <v/>
      </c>
      <c r="L382" s="24"/>
      <c r="M382" s="24"/>
      <c r="N382" s="23" t="str">
        <f aca="false">IF(L382+M382=0,"",L382+M382)</f>
        <v/>
      </c>
      <c r="O382" s="25" t="str">
        <f aca="false">IF(OR(H382="",I382="",J382=""),"",IF(F382="Long",(I382-H382)*J382*IF(G382="",1,G382),(H382-I382)*J382*IF(G382="",1,G382)))</f>
        <v/>
      </c>
      <c r="P382" s="26" t="str">
        <f aca="false">IF(O382="","",O382-IF(N382="",0,N382))</f>
        <v/>
      </c>
      <c r="Q382" s="27" t="str">
        <f aca="false">IFERROR(IF(P382="","",P382/K382),"")</f>
        <v/>
      </c>
      <c r="R382" s="19"/>
      <c r="S382" s="18"/>
      <c r="T382" s="28"/>
    </row>
    <row r="383" customFormat="false" ht="18" hidden="false" customHeight="true" outlineLevel="0" collapsed="false">
      <c r="A383" s="3" t="str">
        <f aca="false">IF(B383&lt;&gt;"",ROW()-2,"")</f>
        <v/>
      </c>
      <c r="B383" s="4"/>
      <c r="C383" s="4"/>
      <c r="D383" s="5"/>
      <c r="E383" s="6"/>
      <c r="F383" s="5"/>
      <c r="G383" s="7"/>
      <c r="H383" s="8"/>
      <c r="I383" s="8"/>
      <c r="J383" s="9"/>
      <c r="K383" s="10" t="str">
        <f aca="false">IF(H383*J383=0,"",H383*J383)</f>
        <v/>
      </c>
      <c r="L383" s="11"/>
      <c r="M383" s="11"/>
      <c r="N383" s="10" t="str">
        <f aca="false">IF(L383+M383=0,"",L383+M383)</f>
        <v/>
      </c>
      <c r="O383" s="12" t="str">
        <f aca="false">IF(OR(H383="",I383="",J383=""),"",IF(F383="Long",(I383-H383)*J383*IF(G383="",1,G383),(H383-I383)*J383*IF(G383="",1,G383)))</f>
        <v/>
      </c>
      <c r="P383" s="13" t="str">
        <f aca="false">IF(O383="","",O383-IF(N383="",0,N383))</f>
        <v/>
      </c>
      <c r="Q383" s="14" t="str">
        <f aca="false">IFERROR(IF(P383="","",P383/K383),"")</f>
        <v/>
      </c>
      <c r="R383" s="6"/>
      <c r="S383" s="5"/>
      <c r="T383" s="15"/>
    </row>
    <row r="384" customFormat="false" ht="18" hidden="false" customHeight="true" outlineLevel="0" collapsed="false">
      <c r="A384" s="16" t="str">
        <f aca="false">IF(B384&lt;&gt;"",ROW()-2,"")</f>
        <v/>
      </c>
      <c r="B384" s="17"/>
      <c r="C384" s="17"/>
      <c r="D384" s="18"/>
      <c r="E384" s="19"/>
      <c r="F384" s="18"/>
      <c r="G384" s="20"/>
      <c r="H384" s="21"/>
      <c r="I384" s="21"/>
      <c r="J384" s="22"/>
      <c r="K384" s="23" t="str">
        <f aca="false">IF(H384*J384=0,"",H384*J384)</f>
        <v/>
      </c>
      <c r="L384" s="24"/>
      <c r="M384" s="24"/>
      <c r="N384" s="23" t="str">
        <f aca="false">IF(L384+M384=0,"",L384+M384)</f>
        <v/>
      </c>
      <c r="O384" s="25" t="str">
        <f aca="false">IF(OR(H384="",I384="",J384=""),"",IF(F384="Long",(I384-H384)*J384*IF(G384="",1,G384),(H384-I384)*J384*IF(G384="",1,G384)))</f>
        <v/>
      </c>
      <c r="P384" s="26" t="str">
        <f aca="false">IF(O384="","",O384-IF(N384="",0,N384))</f>
        <v/>
      </c>
      <c r="Q384" s="27" t="str">
        <f aca="false">IFERROR(IF(P384="","",P384/K384),"")</f>
        <v/>
      </c>
      <c r="R384" s="19"/>
      <c r="S384" s="18"/>
      <c r="T384" s="28"/>
    </row>
    <row r="385" customFormat="false" ht="18" hidden="false" customHeight="true" outlineLevel="0" collapsed="false">
      <c r="A385" s="3" t="str">
        <f aca="false">IF(B385&lt;&gt;"",ROW()-2,"")</f>
        <v/>
      </c>
      <c r="B385" s="4"/>
      <c r="C385" s="4"/>
      <c r="D385" s="5"/>
      <c r="E385" s="6"/>
      <c r="F385" s="5"/>
      <c r="G385" s="7"/>
      <c r="H385" s="8"/>
      <c r="I385" s="8"/>
      <c r="J385" s="9"/>
      <c r="K385" s="10" t="str">
        <f aca="false">IF(H385*J385=0,"",H385*J385)</f>
        <v/>
      </c>
      <c r="L385" s="11"/>
      <c r="M385" s="11"/>
      <c r="N385" s="10" t="str">
        <f aca="false">IF(L385+M385=0,"",L385+M385)</f>
        <v/>
      </c>
      <c r="O385" s="12" t="str">
        <f aca="false">IF(OR(H385="",I385="",J385=""),"",IF(F385="Long",(I385-H385)*J385*IF(G385="",1,G385),(H385-I385)*J385*IF(G385="",1,G385)))</f>
        <v/>
      </c>
      <c r="P385" s="13" t="str">
        <f aca="false">IF(O385="","",O385-IF(N385="",0,N385))</f>
        <v/>
      </c>
      <c r="Q385" s="14" t="str">
        <f aca="false">IFERROR(IF(P385="","",P385/K385),"")</f>
        <v/>
      </c>
      <c r="R385" s="6"/>
      <c r="S385" s="5"/>
      <c r="T385" s="15"/>
    </row>
    <row r="386" customFormat="false" ht="18" hidden="false" customHeight="true" outlineLevel="0" collapsed="false">
      <c r="A386" s="16" t="str">
        <f aca="false">IF(B386&lt;&gt;"",ROW()-2,"")</f>
        <v/>
      </c>
      <c r="B386" s="17"/>
      <c r="C386" s="17"/>
      <c r="D386" s="18"/>
      <c r="E386" s="19"/>
      <c r="F386" s="18"/>
      <c r="G386" s="20"/>
      <c r="H386" s="21"/>
      <c r="I386" s="21"/>
      <c r="J386" s="22"/>
      <c r="K386" s="23" t="str">
        <f aca="false">IF(H386*J386=0,"",H386*J386)</f>
        <v/>
      </c>
      <c r="L386" s="24"/>
      <c r="M386" s="24"/>
      <c r="N386" s="23" t="str">
        <f aca="false">IF(L386+M386=0,"",L386+M386)</f>
        <v/>
      </c>
      <c r="O386" s="25" t="str">
        <f aca="false">IF(OR(H386="",I386="",J386=""),"",IF(F386="Long",(I386-H386)*J386*IF(G386="",1,G386),(H386-I386)*J386*IF(G386="",1,G386)))</f>
        <v/>
      </c>
      <c r="P386" s="26" t="str">
        <f aca="false">IF(O386="","",O386-IF(N386="",0,N386))</f>
        <v/>
      </c>
      <c r="Q386" s="27" t="str">
        <f aca="false">IFERROR(IF(P386="","",P386/K386),"")</f>
        <v/>
      </c>
      <c r="R386" s="19"/>
      <c r="S386" s="18"/>
      <c r="T386" s="28"/>
    </row>
    <row r="387" customFormat="false" ht="18" hidden="false" customHeight="true" outlineLevel="0" collapsed="false">
      <c r="A387" s="3" t="str">
        <f aca="false">IF(B387&lt;&gt;"",ROW()-2,"")</f>
        <v/>
      </c>
      <c r="B387" s="4"/>
      <c r="C387" s="4"/>
      <c r="D387" s="5"/>
      <c r="E387" s="6"/>
      <c r="F387" s="5"/>
      <c r="G387" s="7"/>
      <c r="H387" s="8"/>
      <c r="I387" s="8"/>
      <c r="J387" s="9"/>
      <c r="K387" s="10" t="str">
        <f aca="false">IF(H387*J387=0,"",H387*J387)</f>
        <v/>
      </c>
      <c r="L387" s="11"/>
      <c r="M387" s="11"/>
      <c r="N387" s="10" t="str">
        <f aca="false">IF(L387+M387=0,"",L387+M387)</f>
        <v/>
      </c>
      <c r="O387" s="12" t="str">
        <f aca="false">IF(OR(H387="",I387="",J387=""),"",IF(F387="Long",(I387-H387)*J387*IF(G387="",1,G387),(H387-I387)*J387*IF(G387="",1,G387)))</f>
        <v/>
      </c>
      <c r="P387" s="13" t="str">
        <f aca="false">IF(O387="","",O387-IF(N387="",0,N387))</f>
        <v/>
      </c>
      <c r="Q387" s="14" t="str">
        <f aca="false">IFERROR(IF(P387="","",P387/K387),"")</f>
        <v/>
      </c>
      <c r="R387" s="6"/>
      <c r="S387" s="5"/>
      <c r="T387" s="15"/>
    </row>
    <row r="388" customFormat="false" ht="18" hidden="false" customHeight="true" outlineLevel="0" collapsed="false">
      <c r="A388" s="16" t="str">
        <f aca="false">IF(B388&lt;&gt;"",ROW()-2,"")</f>
        <v/>
      </c>
      <c r="B388" s="17"/>
      <c r="C388" s="17"/>
      <c r="D388" s="18"/>
      <c r="E388" s="19"/>
      <c r="F388" s="18"/>
      <c r="G388" s="20"/>
      <c r="H388" s="21"/>
      <c r="I388" s="21"/>
      <c r="J388" s="22"/>
      <c r="K388" s="23" t="str">
        <f aca="false">IF(H388*J388=0,"",H388*J388)</f>
        <v/>
      </c>
      <c r="L388" s="24"/>
      <c r="M388" s="24"/>
      <c r="N388" s="23" t="str">
        <f aca="false">IF(L388+M388=0,"",L388+M388)</f>
        <v/>
      </c>
      <c r="O388" s="25" t="str">
        <f aca="false">IF(OR(H388="",I388="",J388=""),"",IF(F388="Long",(I388-H388)*J388*IF(G388="",1,G388),(H388-I388)*J388*IF(G388="",1,G388)))</f>
        <v/>
      </c>
      <c r="P388" s="26" t="str">
        <f aca="false">IF(O388="","",O388-IF(N388="",0,N388))</f>
        <v/>
      </c>
      <c r="Q388" s="27" t="str">
        <f aca="false">IFERROR(IF(P388="","",P388/K388),"")</f>
        <v/>
      </c>
      <c r="R388" s="19"/>
      <c r="S388" s="18"/>
      <c r="T388" s="28"/>
    </row>
    <row r="389" customFormat="false" ht="18" hidden="false" customHeight="true" outlineLevel="0" collapsed="false">
      <c r="A389" s="3" t="str">
        <f aca="false">IF(B389&lt;&gt;"",ROW()-2,"")</f>
        <v/>
      </c>
      <c r="B389" s="4"/>
      <c r="C389" s="4"/>
      <c r="D389" s="5"/>
      <c r="E389" s="6"/>
      <c r="F389" s="5"/>
      <c r="G389" s="7"/>
      <c r="H389" s="8"/>
      <c r="I389" s="8"/>
      <c r="J389" s="9"/>
      <c r="K389" s="10" t="str">
        <f aca="false">IF(H389*J389=0,"",H389*J389)</f>
        <v/>
      </c>
      <c r="L389" s="11"/>
      <c r="M389" s="11"/>
      <c r="N389" s="10" t="str">
        <f aca="false">IF(L389+M389=0,"",L389+M389)</f>
        <v/>
      </c>
      <c r="O389" s="12" t="str">
        <f aca="false">IF(OR(H389="",I389="",J389=""),"",IF(F389="Long",(I389-H389)*J389*IF(G389="",1,G389),(H389-I389)*J389*IF(G389="",1,G389)))</f>
        <v/>
      </c>
      <c r="P389" s="13" t="str">
        <f aca="false">IF(O389="","",O389-IF(N389="",0,N389))</f>
        <v/>
      </c>
      <c r="Q389" s="14" t="str">
        <f aca="false">IFERROR(IF(P389="","",P389/K389),"")</f>
        <v/>
      </c>
      <c r="R389" s="6"/>
      <c r="S389" s="5"/>
      <c r="T389" s="15"/>
    </row>
    <row r="390" customFormat="false" ht="18" hidden="false" customHeight="true" outlineLevel="0" collapsed="false">
      <c r="A390" s="16" t="str">
        <f aca="false">IF(B390&lt;&gt;"",ROW()-2,"")</f>
        <v/>
      </c>
      <c r="B390" s="17"/>
      <c r="C390" s="17"/>
      <c r="D390" s="18"/>
      <c r="E390" s="19"/>
      <c r="F390" s="18"/>
      <c r="G390" s="20"/>
      <c r="H390" s="21"/>
      <c r="I390" s="21"/>
      <c r="J390" s="22"/>
      <c r="K390" s="23" t="str">
        <f aca="false">IF(H390*J390=0,"",H390*J390)</f>
        <v/>
      </c>
      <c r="L390" s="24"/>
      <c r="M390" s="24"/>
      <c r="N390" s="23" t="str">
        <f aca="false">IF(L390+M390=0,"",L390+M390)</f>
        <v/>
      </c>
      <c r="O390" s="25" t="str">
        <f aca="false">IF(OR(H390="",I390="",J390=""),"",IF(F390="Long",(I390-H390)*J390*IF(G390="",1,G390),(H390-I390)*J390*IF(G390="",1,G390)))</f>
        <v/>
      </c>
      <c r="P390" s="26" t="str">
        <f aca="false">IF(O390="","",O390-IF(N390="",0,N390))</f>
        <v/>
      </c>
      <c r="Q390" s="27" t="str">
        <f aca="false">IFERROR(IF(P390="","",P390/K390),"")</f>
        <v/>
      </c>
      <c r="R390" s="19"/>
      <c r="S390" s="18"/>
      <c r="T390" s="28"/>
    </row>
    <row r="391" customFormat="false" ht="18" hidden="false" customHeight="true" outlineLevel="0" collapsed="false">
      <c r="A391" s="3" t="str">
        <f aca="false">IF(B391&lt;&gt;"",ROW()-2,"")</f>
        <v/>
      </c>
      <c r="B391" s="4"/>
      <c r="C391" s="4"/>
      <c r="D391" s="5"/>
      <c r="E391" s="6"/>
      <c r="F391" s="5"/>
      <c r="G391" s="7"/>
      <c r="H391" s="8"/>
      <c r="I391" s="8"/>
      <c r="J391" s="9"/>
      <c r="K391" s="10" t="str">
        <f aca="false">IF(H391*J391=0,"",H391*J391)</f>
        <v/>
      </c>
      <c r="L391" s="11"/>
      <c r="M391" s="11"/>
      <c r="N391" s="10" t="str">
        <f aca="false">IF(L391+M391=0,"",L391+M391)</f>
        <v/>
      </c>
      <c r="O391" s="12" t="str">
        <f aca="false">IF(OR(H391="",I391="",J391=""),"",IF(F391="Long",(I391-H391)*J391*IF(G391="",1,G391),(H391-I391)*J391*IF(G391="",1,G391)))</f>
        <v/>
      </c>
      <c r="P391" s="13" t="str">
        <f aca="false">IF(O391="","",O391-IF(N391="",0,N391))</f>
        <v/>
      </c>
      <c r="Q391" s="14" t="str">
        <f aca="false">IFERROR(IF(P391="","",P391/K391),"")</f>
        <v/>
      </c>
      <c r="R391" s="6"/>
      <c r="S391" s="5"/>
      <c r="T391" s="15"/>
    </row>
    <row r="392" customFormat="false" ht="18" hidden="false" customHeight="true" outlineLevel="0" collapsed="false">
      <c r="A392" s="16" t="str">
        <f aca="false">IF(B392&lt;&gt;"",ROW()-2,"")</f>
        <v/>
      </c>
      <c r="B392" s="17"/>
      <c r="C392" s="17"/>
      <c r="D392" s="18"/>
      <c r="E392" s="19"/>
      <c r="F392" s="18"/>
      <c r="G392" s="20"/>
      <c r="H392" s="21"/>
      <c r="I392" s="21"/>
      <c r="J392" s="22"/>
      <c r="K392" s="23" t="str">
        <f aca="false">IF(H392*J392=0,"",H392*J392)</f>
        <v/>
      </c>
      <c r="L392" s="24"/>
      <c r="M392" s="24"/>
      <c r="N392" s="23" t="str">
        <f aca="false">IF(L392+M392=0,"",L392+M392)</f>
        <v/>
      </c>
      <c r="O392" s="25" t="str">
        <f aca="false">IF(OR(H392="",I392="",J392=""),"",IF(F392="Long",(I392-H392)*J392*IF(G392="",1,G392),(H392-I392)*J392*IF(G392="",1,G392)))</f>
        <v/>
      </c>
      <c r="P392" s="26" t="str">
        <f aca="false">IF(O392="","",O392-IF(N392="",0,N392))</f>
        <v/>
      </c>
      <c r="Q392" s="27" t="str">
        <f aca="false">IFERROR(IF(P392="","",P392/K392),"")</f>
        <v/>
      </c>
      <c r="R392" s="19"/>
      <c r="S392" s="18"/>
      <c r="T392" s="28"/>
    </row>
    <row r="393" customFormat="false" ht="18" hidden="false" customHeight="true" outlineLevel="0" collapsed="false">
      <c r="A393" s="3" t="str">
        <f aca="false">IF(B393&lt;&gt;"",ROW()-2,"")</f>
        <v/>
      </c>
      <c r="B393" s="4"/>
      <c r="C393" s="4"/>
      <c r="D393" s="5"/>
      <c r="E393" s="6"/>
      <c r="F393" s="5"/>
      <c r="G393" s="7"/>
      <c r="H393" s="8"/>
      <c r="I393" s="8"/>
      <c r="J393" s="9"/>
      <c r="K393" s="10" t="str">
        <f aca="false">IF(H393*J393=0,"",H393*J393)</f>
        <v/>
      </c>
      <c r="L393" s="11"/>
      <c r="M393" s="11"/>
      <c r="N393" s="10" t="str">
        <f aca="false">IF(L393+M393=0,"",L393+M393)</f>
        <v/>
      </c>
      <c r="O393" s="12" t="str">
        <f aca="false">IF(OR(H393="",I393="",J393=""),"",IF(F393="Long",(I393-H393)*J393*IF(G393="",1,G393),(H393-I393)*J393*IF(G393="",1,G393)))</f>
        <v/>
      </c>
      <c r="P393" s="13" t="str">
        <f aca="false">IF(O393="","",O393-IF(N393="",0,N393))</f>
        <v/>
      </c>
      <c r="Q393" s="14" t="str">
        <f aca="false">IFERROR(IF(P393="","",P393/K393),"")</f>
        <v/>
      </c>
      <c r="R393" s="6"/>
      <c r="S393" s="5"/>
      <c r="T393" s="15"/>
    </row>
    <row r="394" customFormat="false" ht="18" hidden="false" customHeight="true" outlineLevel="0" collapsed="false">
      <c r="A394" s="16" t="str">
        <f aca="false">IF(B394&lt;&gt;"",ROW()-2,"")</f>
        <v/>
      </c>
      <c r="B394" s="17"/>
      <c r="C394" s="17"/>
      <c r="D394" s="18"/>
      <c r="E394" s="19"/>
      <c r="F394" s="18"/>
      <c r="G394" s="20"/>
      <c r="H394" s="21"/>
      <c r="I394" s="21"/>
      <c r="J394" s="22"/>
      <c r="K394" s="23" t="str">
        <f aca="false">IF(H394*J394=0,"",H394*J394)</f>
        <v/>
      </c>
      <c r="L394" s="24"/>
      <c r="M394" s="24"/>
      <c r="N394" s="23" t="str">
        <f aca="false">IF(L394+M394=0,"",L394+M394)</f>
        <v/>
      </c>
      <c r="O394" s="25" t="str">
        <f aca="false">IF(OR(H394="",I394="",J394=""),"",IF(F394="Long",(I394-H394)*J394*IF(G394="",1,G394),(H394-I394)*J394*IF(G394="",1,G394)))</f>
        <v/>
      </c>
      <c r="P394" s="26" t="str">
        <f aca="false">IF(O394="","",O394-IF(N394="",0,N394))</f>
        <v/>
      </c>
      <c r="Q394" s="27" t="str">
        <f aca="false">IFERROR(IF(P394="","",P394/K394),"")</f>
        <v/>
      </c>
      <c r="R394" s="19"/>
      <c r="S394" s="18"/>
      <c r="T394" s="28"/>
    </row>
    <row r="395" customFormat="false" ht="18" hidden="false" customHeight="true" outlineLevel="0" collapsed="false">
      <c r="A395" s="3" t="str">
        <f aca="false">IF(B395&lt;&gt;"",ROW()-2,"")</f>
        <v/>
      </c>
      <c r="B395" s="4"/>
      <c r="C395" s="4"/>
      <c r="D395" s="5"/>
      <c r="E395" s="6"/>
      <c r="F395" s="5"/>
      <c r="G395" s="7"/>
      <c r="H395" s="8"/>
      <c r="I395" s="8"/>
      <c r="J395" s="9"/>
      <c r="K395" s="10" t="str">
        <f aca="false">IF(H395*J395=0,"",H395*J395)</f>
        <v/>
      </c>
      <c r="L395" s="11"/>
      <c r="M395" s="11"/>
      <c r="N395" s="10" t="str">
        <f aca="false">IF(L395+M395=0,"",L395+M395)</f>
        <v/>
      </c>
      <c r="O395" s="12" t="str">
        <f aca="false">IF(OR(H395="",I395="",J395=""),"",IF(F395="Long",(I395-H395)*J395*IF(G395="",1,G395),(H395-I395)*J395*IF(G395="",1,G395)))</f>
        <v/>
      </c>
      <c r="P395" s="13" t="str">
        <f aca="false">IF(O395="","",O395-IF(N395="",0,N395))</f>
        <v/>
      </c>
      <c r="Q395" s="14" t="str">
        <f aca="false">IFERROR(IF(P395="","",P395/K395),"")</f>
        <v/>
      </c>
      <c r="R395" s="6"/>
      <c r="S395" s="5"/>
      <c r="T395" s="15"/>
    </row>
    <row r="396" customFormat="false" ht="18" hidden="false" customHeight="true" outlineLevel="0" collapsed="false">
      <c r="A396" s="16" t="str">
        <f aca="false">IF(B396&lt;&gt;"",ROW()-2,"")</f>
        <v/>
      </c>
      <c r="B396" s="17"/>
      <c r="C396" s="17"/>
      <c r="D396" s="18"/>
      <c r="E396" s="19"/>
      <c r="F396" s="18"/>
      <c r="G396" s="20"/>
      <c r="H396" s="21"/>
      <c r="I396" s="21"/>
      <c r="J396" s="22"/>
      <c r="K396" s="23" t="str">
        <f aca="false">IF(H396*J396=0,"",H396*J396)</f>
        <v/>
      </c>
      <c r="L396" s="24"/>
      <c r="M396" s="24"/>
      <c r="N396" s="23" t="str">
        <f aca="false">IF(L396+M396=0,"",L396+M396)</f>
        <v/>
      </c>
      <c r="O396" s="25" t="str">
        <f aca="false">IF(OR(H396="",I396="",J396=""),"",IF(F396="Long",(I396-H396)*J396*IF(G396="",1,G396),(H396-I396)*J396*IF(G396="",1,G396)))</f>
        <v/>
      </c>
      <c r="P396" s="26" t="str">
        <f aca="false">IF(O396="","",O396-IF(N396="",0,N396))</f>
        <v/>
      </c>
      <c r="Q396" s="27" t="str">
        <f aca="false">IFERROR(IF(P396="","",P396/K396),"")</f>
        <v/>
      </c>
      <c r="R396" s="19"/>
      <c r="S396" s="18"/>
      <c r="T396" s="28"/>
    </row>
    <row r="397" customFormat="false" ht="18" hidden="false" customHeight="true" outlineLevel="0" collapsed="false">
      <c r="A397" s="3" t="str">
        <f aca="false">IF(B397&lt;&gt;"",ROW()-2,"")</f>
        <v/>
      </c>
      <c r="B397" s="4"/>
      <c r="C397" s="4"/>
      <c r="D397" s="5"/>
      <c r="E397" s="6"/>
      <c r="F397" s="5"/>
      <c r="G397" s="7"/>
      <c r="H397" s="8"/>
      <c r="I397" s="8"/>
      <c r="J397" s="9"/>
      <c r="K397" s="10" t="str">
        <f aca="false">IF(H397*J397=0,"",H397*J397)</f>
        <v/>
      </c>
      <c r="L397" s="11"/>
      <c r="M397" s="11"/>
      <c r="N397" s="10" t="str">
        <f aca="false">IF(L397+M397=0,"",L397+M397)</f>
        <v/>
      </c>
      <c r="O397" s="12" t="str">
        <f aca="false">IF(OR(H397="",I397="",J397=""),"",IF(F397="Long",(I397-H397)*J397*IF(G397="",1,G397),(H397-I397)*J397*IF(G397="",1,G397)))</f>
        <v/>
      </c>
      <c r="P397" s="13" t="str">
        <f aca="false">IF(O397="","",O397-IF(N397="",0,N397))</f>
        <v/>
      </c>
      <c r="Q397" s="14" t="str">
        <f aca="false">IFERROR(IF(P397="","",P397/K397),"")</f>
        <v/>
      </c>
      <c r="R397" s="6"/>
      <c r="S397" s="5"/>
      <c r="T397" s="15"/>
    </row>
    <row r="398" customFormat="false" ht="18" hidden="false" customHeight="true" outlineLevel="0" collapsed="false">
      <c r="A398" s="16" t="str">
        <f aca="false">IF(B398&lt;&gt;"",ROW()-2,"")</f>
        <v/>
      </c>
      <c r="B398" s="17"/>
      <c r="C398" s="17"/>
      <c r="D398" s="18"/>
      <c r="E398" s="19"/>
      <c r="F398" s="18"/>
      <c r="G398" s="20"/>
      <c r="H398" s="21"/>
      <c r="I398" s="21"/>
      <c r="J398" s="22"/>
      <c r="K398" s="23" t="str">
        <f aca="false">IF(H398*J398=0,"",H398*J398)</f>
        <v/>
      </c>
      <c r="L398" s="24"/>
      <c r="M398" s="24"/>
      <c r="N398" s="23" t="str">
        <f aca="false">IF(L398+M398=0,"",L398+M398)</f>
        <v/>
      </c>
      <c r="O398" s="25" t="str">
        <f aca="false">IF(OR(H398="",I398="",J398=""),"",IF(F398="Long",(I398-H398)*J398*IF(G398="",1,G398),(H398-I398)*J398*IF(G398="",1,G398)))</f>
        <v/>
      </c>
      <c r="P398" s="26" t="str">
        <f aca="false">IF(O398="","",O398-IF(N398="",0,N398))</f>
        <v/>
      </c>
      <c r="Q398" s="27" t="str">
        <f aca="false">IFERROR(IF(P398="","",P398/K398),"")</f>
        <v/>
      </c>
      <c r="R398" s="19"/>
      <c r="S398" s="18"/>
      <c r="T398" s="28"/>
    </row>
    <row r="399" customFormat="false" ht="18" hidden="false" customHeight="true" outlineLevel="0" collapsed="false">
      <c r="A399" s="3" t="str">
        <f aca="false">IF(B399&lt;&gt;"",ROW()-2,"")</f>
        <v/>
      </c>
      <c r="B399" s="4"/>
      <c r="C399" s="4"/>
      <c r="D399" s="5"/>
      <c r="E399" s="6"/>
      <c r="F399" s="5"/>
      <c r="G399" s="7"/>
      <c r="H399" s="8"/>
      <c r="I399" s="8"/>
      <c r="J399" s="9"/>
      <c r="K399" s="10" t="str">
        <f aca="false">IF(H399*J399=0,"",H399*J399)</f>
        <v/>
      </c>
      <c r="L399" s="11"/>
      <c r="M399" s="11"/>
      <c r="N399" s="10" t="str">
        <f aca="false">IF(L399+M399=0,"",L399+M399)</f>
        <v/>
      </c>
      <c r="O399" s="12" t="str">
        <f aca="false">IF(OR(H399="",I399="",J399=""),"",IF(F399="Long",(I399-H399)*J399*IF(G399="",1,G399),(H399-I399)*J399*IF(G399="",1,G399)))</f>
        <v/>
      </c>
      <c r="P399" s="13" t="str">
        <f aca="false">IF(O399="","",O399-IF(N399="",0,N399))</f>
        <v/>
      </c>
      <c r="Q399" s="14" t="str">
        <f aca="false">IFERROR(IF(P399="","",P399/K399),"")</f>
        <v/>
      </c>
      <c r="R399" s="6"/>
      <c r="S399" s="5"/>
      <c r="T399" s="15"/>
    </row>
    <row r="400" customFormat="false" ht="18" hidden="false" customHeight="true" outlineLevel="0" collapsed="false">
      <c r="A400" s="16" t="str">
        <f aca="false">IF(B400&lt;&gt;"",ROW()-2,"")</f>
        <v/>
      </c>
      <c r="B400" s="17"/>
      <c r="C400" s="17"/>
      <c r="D400" s="18"/>
      <c r="E400" s="19"/>
      <c r="F400" s="18"/>
      <c r="G400" s="20"/>
      <c r="H400" s="21"/>
      <c r="I400" s="21"/>
      <c r="J400" s="22"/>
      <c r="K400" s="23" t="str">
        <f aca="false">IF(H400*J400=0,"",H400*J400)</f>
        <v/>
      </c>
      <c r="L400" s="24"/>
      <c r="M400" s="24"/>
      <c r="N400" s="23" t="str">
        <f aca="false">IF(L400+M400=0,"",L400+M400)</f>
        <v/>
      </c>
      <c r="O400" s="25" t="str">
        <f aca="false">IF(OR(H400="",I400="",J400=""),"",IF(F400="Long",(I400-H400)*J400*IF(G400="",1,G400),(H400-I400)*J400*IF(G400="",1,G400)))</f>
        <v/>
      </c>
      <c r="P400" s="26" t="str">
        <f aca="false">IF(O400="","",O400-IF(N400="",0,N400))</f>
        <v/>
      </c>
      <c r="Q400" s="27" t="str">
        <f aca="false">IFERROR(IF(P400="","",P400/K400),"")</f>
        <v/>
      </c>
      <c r="R400" s="19"/>
      <c r="S400" s="18"/>
      <c r="T400" s="28"/>
    </row>
    <row r="401" customFormat="false" ht="18" hidden="false" customHeight="true" outlineLevel="0" collapsed="false">
      <c r="A401" s="3" t="str">
        <f aca="false">IF(B401&lt;&gt;"",ROW()-2,"")</f>
        <v/>
      </c>
      <c r="B401" s="4"/>
      <c r="C401" s="4"/>
      <c r="D401" s="5"/>
      <c r="E401" s="6"/>
      <c r="F401" s="5"/>
      <c r="G401" s="7"/>
      <c r="H401" s="8"/>
      <c r="I401" s="8"/>
      <c r="J401" s="9"/>
      <c r="K401" s="10" t="str">
        <f aca="false">IF(H401*J401=0,"",H401*J401)</f>
        <v/>
      </c>
      <c r="L401" s="11"/>
      <c r="M401" s="11"/>
      <c r="N401" s="10" t="str">
        <f aca="false">IF(L401+M401=0,"",L401+M401)</f>
        <v/>
      </c>
      <c r="O401" s="12" t="str">
        <f aca="false">IF(OR(H401="",I401="",J401=""),"",IF(F401="Long",(I401-H401)*J401*IF(G401="",1,G401),(H401-I401)*J401*IF(G401="",1,G401)))</f>
        <v/>
      </c>
      <c r="P401" s="13" t="str">
        <f aca="false">IF(O401="","",O401-IF(N401="",0,N401))</f>
        <v/>
      </c>
      <c r="Q401" s="14" t="str">
        <f aca="false">IFERROR(IF(P401="","",P401/K401),"")</f>
        <v/>
      </c>
      <c r="R401" s="6"/>
      <c r="S401" s="5"/>
      <c r="T401" s="15"/>
    </row>
    <row r="402" customFormat="false" ht="18" hidden="false" customHeight="true" outlineLevel="0" collapsed="false">
      <c r="A402" s="16" t="str">
        <f aca="false">IF(B402&lt;&gt;"",ROW()-2,"")</f>
        <v/>
      </c>
      <c r="B402" s="17"/>
      <c r="C402" s="17"/>
      <c r="D402" s="18"/>
      <c r="E402" s="19"/>
      <c r="F402" s="18"/>
      <c r="G402" s="20"/>
      <c r="H402" s="21"/>
      <c r="I402" s="21"/>
      <c r="J402" s="22"/>
      <c r="K402" s="23" t="str">
        <f aca="false">IF(H402*J402=0,"",H402*J402)</f>
        <v/>
      </c>
      <c r="L402" s="24"/>
      <c r="M402" s="24"/>
      <c r="N402" s="23" t="str">
        <f aca="false">IF(L402+M402=0,"",L402+M402)</f>
        <v/>
      </c>
      <c r="O402" s="25" t="str">
        <f aca="false">IF(OR(H402="",I402="",J402=""),"",IF(F402="Long",(I402-H402)*J402*IF(G402="",1,G402),(H402-I402)*J402*IF(G402="",1,G402)))</f>
        <v/>
      </c>
      <c r="P402" s="26" t="str">
        <f aca="false">IF(O402="","",O402-IF(N402="",0,N402))</f>
        <v/>
      </c>
      <c r="Q402" s="27" t="str">
        <f aca="false">IFERROR(IF(P402="","",P402/K402),"")</f>
        <v/>
      </c>
      <c r="R402" s="19"/>
      <c r="S402" s="18"/>
      <c r="T402" s="28"/>
    </row>
    <row r="403" customFormat="false" ht="18" hidden="false" customHeight="true" outlineLevel="0" collapsed="false">
      <c r="A403" s="3" t="str">
        <f aca="false">IF(B403&lt;&gt;"",ROW()-2,"")</f>
        <v/>
      </c>
      <c r="B403" s="4"/>
      <c r="C403" s="4"/>
      <c r="D403" s="5"/>
      <c r="E403" s="6"/>
      <c r="F403" s="5"/>
      <c r="G403" s="7"/>
      <c r="H403" s="8"/>
      <c r="I403" s="8"/>
      <c r="J403" s="9"/>
      <c r="K403" s="10" t="str">
        <f aca="false">IF(H403*J403=0,"",H403*J403)</f>
        <v/>
      </c>
      <c r="L403" s="11"/>
      <c r="M403" s="11"/>
      <c r="N403" s="10" t="str">
        <f aca="false">IF(L403+M403=0,"",L403+M403)</f>
        <v/>
      </c>
      <c r="O403" s="12" t="str">
        <f aca="false">IF(OR(H403="",I403="",J403=""),"",IF(F403="Long",(I403-H403)*J403*IF(G403="",1,G403),(H403-I403)*J403*IF(G403="",1,G403)))</f>
        <v/>
      </c>
      <c r="P403" s="13" t="str">
        <f aca="false">IF(O403="","",O403-IF(N403="",0,N403))</f>
        <v/>
      </c>
      <c r="Q403" s="14" t="str">
        <f aca="false">IFERROR(IF(P403="","",P403/K403),"")</f>
        <v/>
      </c>
      <c r="R403" s="6"/>
      <c r="S403" s="5"/>
      <c r="T403" s="15"/>
    </row>
    <row r="404" customFormat="false" ht="18" hidden="false" customHeight="true" outlineLevel="0" collapsed="false">
      <c r="A404" s="16" t="str">
        <f aca="false">IF(B404&lt;&gt;"",ROW()-2,"")</f>
        <v/>
      </c>
      <c r="B404" s="17"/>
      <c r="C404" s="17"/>
      <c r="D404" s="18"/>
      <c r="E404" s="19"/>
      <c r="F404" s="18"/>
      <c r="G404" s="20"/>
      <c r="H404" s="21"/>
      <c r="I404" s="21"/>
      <c r="J404" s="22"/>
      <c r="K404" s="23" t="str">
        <f aca="false">IF(H404*J404=0,"",H404*J404)</f>
        <v/>
      </c>
      <c r="L404" s="24"/>
      <c r="M404" s="24"/>
      <c r="N404" s="23" t="str">
        <f aca="false">IF(L404+M404=0,"",L404+M404)</f>
        <v/>
      </c>
      <c r="O404" s="25" t="str">
        <f aca="false">IF(OR(H404="",I404="",J404=""),"",IF(F404="Long",(I404-H404)*J404*IF(G404="",1,G404),(H404-I404)*J404*IF(G404="",1,G404)))</f>
        <v/>
      </c>
      <c r="P404" s="26" t="str">
        <f aca="false">IF(O404="","",O404-IF(N404="",0,N404))</f>
        <v/>
      </c>
      <c r="Q404" s="27" t="str">
        <f aca="false">IFERROR(IF(P404="","",P404/K404),"")</f>
        <v/>
      </c>
      <c r="R404" s="19"/>
      <c r="S404" s="18"/>
      <c r="T404" s="28"/>
    </row>
    <row r="405" customFormat="false" ht="18" hidden="false" customHeight="true" outlineLevel="0" collapsed="false">
      <c r="A405" s="3" t="str">
        <f aca="false">IF(B405&lt;&gt;"",ROW()-2,"")</f>
        <v/>
      </c>
      <c r="B405" s="4"/>
      <c r="C405" s="4"/>
      <c r="D405" s="5"/>
      <c r="E405" s="6"/>
      <c r="F405" s="5"/>
      <c r="G405" s="7"/>
      <c r="H405" s="8"/>
      <c r="I405" s="8"/>
      <c r="J405" s="9"/>
      <c r="K405" s="10" t="str">
        <f aca="false">IF(H405*J405=0,"",H405*J405)</f>
        <v/>
      </c>
      <c r="L405" s="11"/>
      <c r="M405" s="11"/>
      <c r="N405" s="10" t="str">
        <f aca="false">IF(L405+M405=0,"",L405+M405)</f>
        <v/>
      </c>
      <c r="O405" s="12" t="str">
        <f aca="false">IF(OR(H405="",I405="",J405=""),"",IF(F405="Long",(I405-H405)*J405*IF(G405="",1,G405),(H405-I405)*J405*IF(G405="",1,G405)))</f>
        <v/>
      </c>
      <c r="P405" s="13" t="str">
        <f aca="false">IF(O405="","",O405-IF(N405="",0,N405))</f>
        <v/>
      </c>
      <c r="Q405" s="14" t="str">
        <f aca="false">IFERROR(IF(P405="","",P405/K405),"")</f>
        <v/>
      </c>
      <c r="R405" s="6"/>
      <c r="S405" s="5"/>
      <c r="T405" s="15"/>
    </row>
    <row r="406" customFormat="false" ht="18" hidden="false" customHeight="true" outlineLevel="0" collapsed="false">
      <c r="A406" s="16" t="str">
        <f aca="false">IF(B406&lt;&gt;"",ROW()-2,"")</f>
        <v/>
      </c>
      <c r="B406" s="17"/>
      <c r="C406" s="17"/>
      <c r="D406" s="18"/>
      <c r="E406" s="19"/>
      <c r="F406" s="18"/>
      <c r="G406" s="20"/>
      <c r="H406" s="21"/>
      <c r="I406" s="21"/>
      <c r="J406" s="22"/>
      <c r="K406" s="23" t="str">
        <f aca="false">IF(H406*J406=0,"",H406*J406)</f>
        <v/>
      </c>
      <c r="L406" s="24"/>
      <c r="M406" s="24"/>
      <c r="N406" s="23" t="str">
        <f aca="false">IF(L406+M406=0,"",L406+M406)</f>
        <v/>
      </c>
      <c r="O406" s="25" t="str">
        <f aca="false">IF(OR(H406="",I406="",J406=""),"",IF(F406="Long",(I406-H406)*J406*IF(G406="",1,G406),(H406-I406)*J406*IF(G406="",1,G406)))</f>
        <v/>
      </c>
      <c r="P406" s="26" t="str">
        <f aca="false">IF(O406="","",O406-IF(N406="",0,N406))</f>
        <v/>
      </c>
      <c r="Q406" s="27" t="str">
        <f aca="false">IFERROR(IF(P406="","",P406/K406),"")</f>
        <v/>
      </c>
      <c r="R406" s="19"/>
      <c r="S406" s="18"/>
      <c r="T406" s="28"/>
    </row>
    <row r="407" customFormat="false" ht="18" hidden="false" customHeight="true" outlineLevel="0" collapsed="false">
      <c r="A407" s="3" t="str">
        <f aca="false">IF(B407&lt;&gt;"",ROW()-2,"")</f>
        <v/>
      </c>
      <c r="B407" s="4"/>
      <c r="C407" s="4"/>
      <c r="D407" s="5"/>
      <c r="E407" s="6"/>
      <c r="F407" s="5"/>
      <c r="G407" s="7"/>
      <c r="H407" s="8"/>
      <c r="I407" s="8"/>
      <c r="J407" s="9"/>
      <c r="K407" s="10" t="str">
        <f aca="false">IF(H407*J407=0,"",H407*J407)</f>
        <v/>
      </c>
      <c r="L407" s="11"/>
      <c r="M407" s="11"/>
      <c r="N407" s="10" t="str">
        <f aca="false">IF(L407+M407=0,"",L407+M407)</f>
        <v/>
      </c>
      <c r="O407" s="12" t="str">
        <f aca="false">IF(OR(H407="",I407="",J407=""),"",IF(F407="Long",(I407-H407)*J407*IF(G407="",1,G407),(H407-I407)*J407*IF(G407="",1,G407)))</f>
        <v/>
      </c>
      <c r="P407" s="13" t="str">
        <f aca="false">IF(O407="","",O407-IF(N407="",0,N407))</f>
        <v/>
      </c>
      <c r="Q407" s="14" t="str">
        <f aca="false">IFERROR(IF(P407="","",P407/K407),"")</f>
        <v/>
      </c>
      <c r="R407" s="6"/>
      <c r="S407" s="5"/>
      <c r="T407" s="15"/>
    </row>
    <row r="408" customFormat="false" ht="18" hidden="false" customHeight="true" outlineLevel="0" collapsed="false">
      <c r="A408" s="16" t="str">
        <f aca="false">IF(B408&lt;&gt;"",ROW()-2,"")</f>
        <v/>
      </c>
      <c r="B408" s="17"/>
      <c r="C408" s="17"/>
      <c r="D408" s="18"/>
      <c r="E408" s="19"/>
      <c r="F408" s="18"/>
      <c r="G408" s="20"/>
      <c r="H408" s="21"/>
      <c r="I408" s="21"/>
      <c r="J408" s="22"/>
      <c r="K408" s="23" t="str">
        <f aca="false">IF(H408*J408=0,"",H408*J408)</f>
        <v/>
      </c>
      <c r="L408" s="24"/>
      <c r="M408" s="24"/>
      <c r="N408" s="23" t="str">
        <f aca="false">IF(L408+M408=0,"",L408+M408)</f>
        <v/>
      </c>
      <c r="O408" s="25" t="str">
        <f aca="false">IF(OR(H408="",I408="",J408=""),"",IF(F408="Long",(I408-H408)*J408*IF(G408="",1,G408),(H408-I408)*J408*IF(G408="",1,G408)))</f>
        <v/>
      </c>
      <c r="P408" s="26" t="str">
        <f aca="false">IF(O408="","",O408-IF(N408="",0,N408))</f>
        <v/>
      </c>
      <c r="Q408" s="27" t="str">
        <f aca="false">IFERROR(IF(P408="","",P408/K408),"")</f>
        <v/>
      </c>
      <c r="R408" s="19"/>
      <c r="S408" s="18"/>
      <c r="T408" s="28"/>
    </row>
    <row r="409" customFormat="false" ht="18" hidden="false" customHeight="true" outlineLevel="0" collapsed="false">
      <c r="A409" s="3" t="str">
        <f aca="false">IF(B409&lt;&gt;"",ROW()-2,"")</f>
        <v/>
      </c>
      <c r="B409" s="4"/>
      <c r="C409" s="4"/>
      <c r="D409" s="5"/>
      <c r="E409" s="6"/>
      <c r="F409" s="5"/>
      <c r="G409" s="7"/>
      <c r="H409" s="8"/>
      <c r="I409" s="8"/>
      <c r="J409" s="9"/>
      <c r="K409" s="10" t="str">
        <f aca="false">IF(H409*J409=0,"",H409*J409)</f>
        <v/>
      </c>
      <c r="L409" s="11"/>
      <c r="M409" s="11"/>
      <c r="N409" s="10" t="str">
        <f aca="false">IF(L409+M409=0,"",L409+M409)</f>
        <v/>
      </c>
      <c r="O409" s="12" t="str">
        <f aca="false">IF(OR(H409="",I409="",J409=""),"",IF(F409="Long",(I409-H409)*J409*IF(G409="",1,G409),(H409-I409)*J409*IF(G409="",1,G409)))</f>
        <v/>
      </c>
      <c r="P409" s="13" t="str">
        <f aca="false">IF(O409="","",O409-IF(N409="",0,N409))</f>
        <v/>
      </c>
      <c r="Q409" s="14" t="str">
        <f aca="false">IFERROR(IF(P409="","",P409/K409),"")</f>
        <v/>
      </c>
      <c r="R409" s="6"/>
      <c r="S409" s="5"/>
      <c r="T409" s="15"/>
    </row>
    <row r="410" customFormat="false" ht="18" hidden="false" customHeight="true" outlineLevel="0" collapsed="false">
      <c r="A410" s="16" t="str">
        <f aca="false">IF(B410&lt;&gt;"",ROW()-2,"")</f>
        <v/>
      </c>
      <c r="B410" s="17"/>
      <c r="C410" s="17"/>
      <c r="D410" s="18"/>
      <c r="E410" s="19"/>
      <c r="F410" s="18"/>
      <c r="G410" s="20"/>
      <c r="H410" s="21"/>
      <c r="I410" s="21"/>
      <c r="J410" s="22"/>
      <c r="K410" s="23" t="str">
        <f aca="false">IF(H410*J410=0,"",H410*J410)</f>
        <v/>
      </c>
      <c r="L410" s="24"/>
      <c r="M410" s="24"/>
      <c r="N410" s="23" t="str">
        <f aca="false">IF(L410+M410=0,"",L410+M410)</f>
        <v/>
      </c>
      <c r="O410" s="25" t="str">
        <f aca="false">IF(OR(H410="",I410="",J410=""),"",IF(F410="Long",(I410-H410)*J410*IF(G410="",1,G410),(H410-I410)*J410*IF(G410="",1,G410)))</f>
        <v/>
      </c>
      <c r="P410" s="26" t="str">
        <f aca="false">IF(O410="","",O410-IF(N410="",0,N410))</f>
        <v/>
      </c>
      <c r="Q410" s="27" t="str">
        <f aca="false">IFERROR(IF(P410="","",P410/K410),"")</f>
        <v/>
      </c>
      <c r="R410" s="19"/>
      <c r="S410" s="18"/>
      <c r="T410" s="28"/>
    </row>
    <row r="411" customFormat="false" ht="18" hidden="false" customHeight="true" outlineLevel="0" collapsed="false">
      <c r="A411" s="3" t="str">
        <f aca="false">IF(B411&lt;&gt;"",ROW()-2,"")</f>
        <v/>
      </c>
      <c r="B411" s="4"/>
      <c r="C411" s="4"/>
      <c r="D411" s="5"/>
      <c r="E411" s="6"/>
      <c r="F411" s="5"/>
      <c r="G411" s="7"/>
      <c r="H411" s="8"/>
      <c r="I411" s="8"/>
      <c r="J411" s="9"/>
      <c r="K411" s="10" t="str">
        <f aca="false">IF(H411*J411=0,"",H411*J411)</f>
        <v/>
      </c>
      <c r="L411" s="11"/>
      <c r="M411" s="11"/>
      <c r="N411" s="10" t="str">
        <f aca="false">IF(L411+M411=0,"",L411+M411)</f>
        <v/>
      </c>
      <c r="O411" s="12" t="str">
        <f aca="false">IF(OR(H411="",I411="",J411=""),"",IF(F411="Long",(I411-H411)*J411*IF(G411="",1,G411),(H411-I411)*J411*IF(G411="",1,G411)))</f>
        <v/>
      </c>
      <c r="P411" s="13" t="str">
        <f aca="false">IF(O411="","",O411-IF(N411="",0,N411))</f>
        <v/>
      </c>
      <c r="Q411" s="14" t="str">
        <f aca="false">IFERROR(IF(P411="","",P411/K411),"")</f>
        <v/>
      </c>
      <c r="R411" s="6"/>
      <c r="S411" s="5"/>
      <c r="T411" s="15"/>
    </row>
    <row r="412" customFormat="false" ht="18" hidden="false" customHeight="true" outlineLevel="0" collapsed="false">
      <c r="A412" s="16" t="str">
        <f aca="false">IF(B412&lt;&gt;"",ROW()-2,"")</f>
        <v/>
      </c>
      <c r="B412" s="17"/>
      <c r="C412" s="17"/>
      <c r="D412" s="18"/>
      <c r="E412" s="19"/>
      <c r="F412" s="18"/>
      <c r="G412" s="20"/>
      <c r="H412" s="21"/>
      <c r="I412" s="21"/>
      <c r="J412" s="22"/>
      <c r="K412" s="23" t="str">
        <f aca="false">IF(H412*J412=0,"",H412*J412)</f>
        <v/>
      </c>
      <c r="L412" s="24"/>
      <c r="M412" s="24"/>
      <c r="N412" s="23" t="str">
        <f aca="false">IF(L412+M412=0,"",L412+M412)</f>
        <v/>
      </c>
      <c r="O412" s="25" t="str">
        <f aca="false">IF(OR(H412="",I412="",J412=""),"",IF(F412="Long",(I412-H412)*J412*IF(G412="",1,G412),(H412-I412)*J412*IF(G412="",1,G412)))</f>
        <v/>
      </c>
      <c r="P412" s="26" t="str">
        <f aca="false">IF(O412="","",O412-IF(N412="",0,N412))</f>
        <v/>
      </c>
      <c r="Q412" s="27" t="str">
        <f aca="false">IFERROR(IF(P412="","",P412/K412),"")</f>
        <v/>
      </c>
      <c r="R412" s="19"/>
      <c r="S412" s="18"/>
      <c r="T412" s="28"/>
    </row>
    <row r="413" customFormat="false" ht="18" hidden="false" customHeight="true" outlineLevel="0" collapsed="false">
      <c r="A413" s="3" t="str">
        <f aca="false">IF(B413&lt;&gt;"",ROW()-2,"")</f>
        <v/>
      </c>
      <c r="B413" s="4"/>
      <c r="C413" s="4"/>
      <c r="D413" s="5"/>
      <c r="E413" s="6"/>
      <c r="F413" s="5"/>
      <c r="G413" s="7"/>
      <c r="H413" s="8"/>
      <c r="I413" s="8"/>
      <c r="J413" s="9"/>
      <c r="K413" s="10" t="str">
        <f aca="false">IF(H413*J413=0,"",H413*J413)</f>
        <v/>
      </c>
      <c r="L413" s="11"/>
      <c r="M413" s="11"/>
      <c r="N413" s="10" t="str">
        <f aca="false">IF(L413+M413=0,"",L413+M413)</f>
        <v/>
      </c>
      <c r="O413" s="12" t="str">
        <f aca="false">IF(OR(H413="",I413="",J413=""),"",IF(F413="Long",(I413-H413)*J413*IF(G413="",1,G413),(H413-I413)*J413*IF(G413="",1,G413)))</f>
        <v/>
      </c>
      <c r="P413" s="13" t="str">
        <f aca="false">IF(O413="","",O413-IF(N413="",0,N413))</f>
        <v/>
      </c>
      <c r="Q413" s="14" t="str">
        <f aca="false">IFERROR(IF(P413="","",P413/K413),"")</f>
        <v/>
      </c>
      <c r="R413" s="6"/>
      <c r="S413" s="5"/>
      <c r="T413" s="15"/>
    </row>
    <row r="414" customFormat="false" ht="18" hidden="false" customHeight="true" outlineLevel="0" collapsed="false">
      <c r="A414" s="16" t="str">
        <f aca="false">IF(B414&lt;&gt;"",ROW()-2,"")</f>
        <v/>
      </c>
      <c r="B414" s="17"/>
      <c r="C414" s="17"/>
      <c r="D414" s="18"/>
      <c r="E414" s="19"/>
      <c r="F414" s="18"/>
      <c r="G414" s="20"/>
      <c r="H414" s="21"/>
      <c r="I414" s="21"/>
      <c r="J414" s="22"/>
      <c r="K414" s="23" t="str">
        <f aca="false">IF(H414*J414=0,"",H414*J414)</f>
        <v/>
      </c>
      <c r="L414" s="24"/>
      <c r="M414" s="24"/>
      <c r="N414" s="23" t="str">
        <f aca="false">IF(L414+M414=0,"",L414+M414)</f>
        <v/>
      </c>
      <c r="O414" s="25" t="str">
        <f aca="false">IF(OR(H414="",I414="",J414=""),"",IF(F414="Long",(I414-H414)*J414*IF(G414="",1,G414),(H414-I414)*J414*IF(G414="",1,G414)))</f>
        <v/>
      </c>
      <c r="P414" s="26" t="str">
        <f aca="false">IF(O414="","",O414-IF(N414="",0,N414))</f>
        <v/>
      </c>
      <c r="Q414" s="27" t="str">
        <f aca="false">IFERROR(IF(P414="","",P414/K414),"")</f>
        <v/>
      </c>
      <c r="R414" s="19"/>
      <c r="S414" s="18"/>
      <c r="T414" s="28"/>
    </row>
    <row r="415" customFormat="false" ht="18" hidden="false" customHeight="true" outlineLevel="0" collapsed="false">
      <c r="A415" s="3" t="str">
        <f aca="false">IF(B415&lt;&gt;"",ROW()-2,"")</f>
        <v/>
      </c>
      <c r="B415" s="4"/>
      <c r="C415" s="4"/>
      <c r="D415" s="5"/>
      <c r="E415" s="6"/>
      <c r="F415" s="5"/>
      <c r="G415" s="7"/>
      <c r="H415" s="8"/>
      <c r="I415" s="8"/>
      <c r="J415" s="9"/>
      <c r="K415" s="10" t="str">
        <f aca="false">IF(H415*J415=0,"",H415*J415)</f>
        <v/>
      </c>
      <c r="L415" s="11"/>
      <c r="M415" s="11"/>
      <c r="N415" s="10" t="str">
        <f aca="false">IF(L415+M415=0,"",L415+M415)</f>
        <v/>
      </c>
      <c r="O415" s="12" t="str">
        <f aca="false">IF(OR(H415="",I415="",J415=""),"",IF(F415="Long",(I415-H415)*J415*IF(G415="",1,G415),(H415-I415)*J415*IF(G415="",1,G415)))</f>
        <v/>
      </c>
      <c r="P415" s="13" t="str">
        <f aca="false">IF(O415="","",O415-IF(N415="",0,N415))</f>
        <v/>
      </c>
      <c r="Q415" s="14" t="str">
        <f aca="false">IFERROR(IF(P415="","",P415/K415),"")</f>
        <v/>
      </c>
      <c r="R415" s="6"/>
      <c r="S415" s="5"/>
      <c r="T415" s="15"/>
    </row>
    <row r="416" customFormat="false" ht="18" hidden="false" customHeight="true" outlineLevel="0" collapsed="false">
      <c r="A416" s="16" t="str">
        <f aca="false">IF(B416&lt;&gt;"",ROW()-2,"")</f>
        <v/>
      </c>
      <c r="B416" s="17"/>
      <c r="C416" s="17"/>
      <c r="D416" s="18"/>
      <c r="E416" s="19"/>
      <c r="F416" s="18"/>
      <c r="G416" s="20"/>
      <c r="H416" s="21"/>
      <c r="I416" s="21"/>
      <c r="J416" s="22"/>
      <c r="K416" s="23" t="str">
        <f aca="false">IF(H416*J416=0,"",H416*J416)</f>
        <v/>
      </c>
      <c r="L416" s="24"/>
      <c r="M416" s="24"/>
      <c r="N416" s="23" t="str">
        <f aca="false">IF(L416+M416=0,"",L416+M416)</f>
        <v/>
      </c>
      <c r="O416" s="25" t="str">
        <f aca="false">IF(OR(H416="",I416="",J416=""),"",IF(F416="Long",(I416-H416)*J416*IF(G416="",1,G416),(H416-I416)*J416*IF(G416="",1,G416)))</f>
        <v/>
      </c>
      <c r="P416" s="26" t="str">
        <f aca="false">IF(O416="","",O416-IF(N416="",0,N416))</f>
        <v/>
      </c>
      <c r="Q416" s="27" t="str">
        <f aca="false">IFERROR(IF(P416="","",P416/K416),"")</f>
        <v/>
      </c>
      <c r="R416" s="19"/>
      <c r="S416" s="18"/>
      <c r="T416" s="28"/>
    </row>
    <row r="417" customFormat="false" ht="18" hidden="false" customHeight="true" outlineLevel="0" collapsed="false">
      <c r="A417" s="3" t="str">
        <f aca="false">IF(B417&lt;&gt;"",ROW()-2,"")</f>
        <v/>
      </c>
      <c r="B417" s="4"/>
      <c r="C417" s="4"/>
      <c r="D417" s="5"/>
      <c r="E417" s="6"/>
      <c r="F417" s="5"/>
      <c r="G417" s="7"/>
      <c r="H417" s="8"/>
      <c r="I417" s="8"/>
      <c r="J417" s="9"/>
      <c r="K417" s="10" t="str">
        <f aca="false">IF(H417*J417=0,"",H417*J417)</f>
        <v/>
      </c>
      <c r="L417" s="11"/>
      <c r="M417" s="11"/>
      <c r="N417" s="10" t="str">
        <f aca="false">IF(L417+M417=0,"",L417+M417)</f>
        <v/>
      </c>
      <c r="O417" s="12" t="str">
        <f aca="false">IF(OR(H417="",I417="",J417=""),"",IF(F417="Long",(I417-H417)*J417*IF(G417="",1,G417),(H417-I417)*J417*IF(G417="",1,G417)))</f>
        <v/>
      </c>
      <c r="P417" s="13" t="str">
        <f aca="false">IF(O417="","",O417-IF(N417="",0,N417))</f>
        <v/>
      </c>
      <c r="Q417" s="14" t="str">
        <f aca="false">IFERROR(IF(P417="","",P417/K417),"")</f>
        <v/>
      </c>
      <c r="R417" s="6"/>
      <c r="S417" s="5"/>
      <c r="T417" s="15"/>
    </row>
    <row r="418" customFormat="false" ht="18" hidden="false" customHeight="true" outlineLevel="0" collapsed="false">
      <c r="A418" s="16" t="str">
        <f aca="false">IF(B418&lt;&gt;"",ROW()-2,"")</f>
        <v/>
      </c>
      <c r="B418" s="17"/>
      <c r="C418" s="17"/>
      <c r="D418" s="18"/>
      <c r="E418" s="19"/>
      <c r="F418" s="18"/>
      <c r="G418" s="20"/>
      <c r="H418" s="21"/>
      <c r="I418" s="21"/>
      <c r="J418" s="22"/>
      <c r="K418" s="23" t="str">
        <f aca="false">IF(H418*J418=0,"",H418*J418)</f>
        <v/>
      </c>
      <c r="L418" s="24"/>
      <c r="M418" s="24"/>
      <c r="N418" s="23" t="str">
        <f aca="false">IF(L418+M418=0,"",L418+M418)</f>
        <v/>
      </c>
      <c r="O418" s="25" t="str">
        <f aca="false">IF(OR(H418="",I418="",J418=""),"",IF(F418="Long",(I418-H418)*J418*IF(G418="",1,G418),(H418-I418)*J418*IF(G418="",1,G418)))</f>
        <v/>
      </c>
      <c r="P418" s="26" t="str">
        <f aca="false">IF(O418="","",O418-IF(N418="",0,N418))</f>
        <v/>
      </c>
      <c r="Q418" s="27" t="str">
        <f aca="false">IFERROR(IF(P418="","",P418/K418),"")</f>
        <v/>
      </c>
      <c r="R418" s="19"/>
      <c r="S418" s="18"/>
      <c r="T418" s="28"/>
    </row>
    <row r="419" customFormat="false" ht="18" hidden="false" customHeight="true" outlineLevel="0" collapsed="false">
      <c r="A419" s="3" t="str">
        <f aca="false">IF(B419&lt;&gt;"",ROW()-2,"")</f>
        <v/>
      </c>
      <c r="B419" s="4"/>
      <c r="C419" s="4"/>
      <c r="D419" s="5"/>
      <c r="E419" s="6"/>
      <c r="F419" s="5"/>
      <c r="G419" s="7"/>
      <c r="H419" s="8"/>
      <c r="I419" s="8"/>
      <c r="J419" s="9"/>
      <c r="K419" s="10" t="str">
        <f aca="false">IF(H419*J419=0,"",H419*J419)</f>
        <v/>
      </c>
      <c r="L419" s="11"/>
      <c r="M419" s="11"/>
      <c r="N419" s="10" t="str">
        <f aca="false">IF(L419+M419=0,"",L419+M419)</f>
        <v/>
      </c>
      <c r="O419" s="12" t="str">
        <f aca="false">IF(OR(H419="",I419="",J419=""),"",IF(F419="Long",(I419-H419)*J419*IF(G419="",1,G419),(H419-I419)*J419*IF(G419="",1,G419)))</f>
        <v/>
      </c>
      <c r="P419" s="13" t="str">
        <f aca="false">IF(O419="","",O419-IF(N419="",0,N419))</f>
        <v/>
      </c>
      <c r="Q419" s="14" t="str">
        <f aca="false">IFERROR(IF(P419="","",P419/K419),"")</f>
        <v/>
      </c>
      <c r="R419" s="6"/>
      <c r="S419" s="5"/>
      <c r="T419" s="15"/>
    </row>
    <row r="420" customFormat="false" ht="18" hidden="false" customHeight="true" outlineLevel="0" collapsed="false">
      <c r="A420" s="16" t="str">
        <f aca="false">IF(B420&lt;&gt;"",ROW()-2,"")</f>
        <v/>
      </c>
      <c r="B420" s="17"/>
      <c r="C420" s="17"/>
      <c r="D420" s="18"/>
      <c r="E420" s="19"/>
      <c r="F420" s="18"/>
      <c r="G420" s="20"/>
      <c r="H420" s="21"/>
      <c r="I420" s="21"/>
      <c r="J420" s="22"/>
      <c r="K420" s="23" t="str">
        <f aca="false">IF(H420*J420=0,"",H420*J420)</f>
        <v/>
      </c>
      <c r="L420" s="24"/>
      <c r="M420" s="24"/>
      <c r="N420" s="23" t="str">
        <f aca="false">IF(L420+M420=0,"",L420+M420)</f>
        <v/>
      </c>
      <c r="O420" s="25" t="str">
        <f aca="false">IF(OR(H420="",I420="",J420=""),"",IF(F420="Long",(I420-H420)*J420*IF(G420="",1,G420),(H420-I420)*J420*IF(G420="",1,G420)))</f>
        <v/>
      </c>
      <c r="P420" s="26" t="str">
        <f aca="false">IF(O420="","",O420-IF(N420="",0,N420))</f>
        <v/>
      </c>
      <c r="Q420" s="27" t="str">
        <f aca="false">IFERROR(IF(P420="","",P420/K420),"")</f>
        <v/>
      </c>
      <c r="R420" s="19"/>
      <c r="S420" s="18"/>
      <c r="T420" s="28"/>
    </row>
    <row r="421" customFormat="false" ht="18" hidden="false" customHeight="true" outlineLevel="0" collapsed="false">
      <c r="A421" s="3" t="str">
        <f aca="false">IF(B421&lt;&gt;"",ROW()-2,"")</f>
        <v/>
      </c>
      <c r="B421" s="4"/>
      <c r="C421" s="4"/>
      <c r="D421" s="5"/>
      <c r="E421" s="6"/>
      <c r="F421" s="5"/>
      <c r="G421" s="7"/>
      <c r="H421" s="8"/>
      <c r="I421" s="8"/>
      <c r="J421" s="9"/>
      <c r="K421" s="10" t="str">
        <f aca="false">IF(H421*J421=0,"",H421*J421)</f>
        <v/>
      </c>
      <c r="L421" s="11"/>
      <c r="M421" s="11"/>
      <c r="N421" s="10" t="str">
        <f aca="false">IF(L421+M421=0,"",L421+M421)</f>
        <v/>
      </c>
      <c r="O421" s="12" t="str">
        <f aca="false">IF(OR(H421="",I421="",J421=""),"",IF(F421="Long",(I421-H421)*J421*IF(G421="",1,G421),(H421-I421)*J421*IF(G421="",1,G421)))</f>
        <v/>
      </c>
      <c r="P421" s="13" t="str">
        <f aca="false">IF(O421="","",O421-IF(N421="",0,N421))</f>
        <v/>
      </c>
      <c r="Q421" s="14" t="str">
        <f aca="false">IFERROR(IF(P421="","",P421/K421),"")</f>
        <v/>
      </c>
      <c r="R421" s="6"/>
      <c r="S421" s="5"/>
      <c r="T421" s="15"/>
    </row>
    <row r="422" customFormat="false" ht="18" hidden="false" customHeight="true" outlineLevel="0" collapsed="false">
      <c r="A422" s="16" t="str">
        <f aca="false">IF(B422&lt;&gt;"",ROW()-2,"")</f>
        <v/>
      </c>
      <c r="B422" s="17"/>
      <c r="C422" s="17"/>
      <c r="D422" s="18"/>
      <c r="E422" s="19"/>
      <c r="F422" s="18"/>
      <c r="G422" s="20"/>
      <c r="H422" s="21"/>
      <c r="I422" s="21"/>
      <c r="J422" s="22"/>
      <c r="K422" s="23" t="str">
        <f aca="false">IF(H422*J422=0,"",H422*J422)</f>
        <v/>
      </c>
      <c r="L422" s="24"/>
      <c r="M422" s="24"/>
      <c r="N422" s="23" t="str">
        <f aca="false">IF(L422+M422=0,"",L422+M422)</f>
        <v/>
      </c>
      <c r="O422" s="25" t="str">
        <f aca="false">IF(OR(H422="",I422="",J422=""),"",IF(F422="Long",(I422-H422)*J422*IF(G422="",1,G422),(H422-I422)*J422*IF(G422="",1,G422)))</f>
        <v/>
      </c>
      <c r="P422" s="26" t="str">
        <f aca="false">IF(O422="","",O422-IF(N422="",0,N422))</f>
        <v/>
      </c>
      <c r="Q422" s="27" t="str">
        <f aca="false">IFERROR(IF(P422="","",P422/K422),"")</f>
        <v/>
      </c>
      <c r="R422" s="19"/>
      <c r="S422" s="18"/>
      <c r="T422" s="28"/>
    </row>
    <row r="423" customFormat="false" ht="18" hidden="false" customHeight="true" outlineLevel="0" collapsed="false">
      <c r="A423" s="3" t="str">
        <f aca="false">IF(B423&lt;&gt;"",ROW()-2,"")</f>
        <v/>
      </c>
      <c r="B423" s="4"/>
      <c r="C423" s="4"/>
      <c r="D423" s="5"/>
      <c r="E423" s="6"/>
      <c r="F423" s="5"/>
      <c r="G423" s="7"/>
      <c r="H423" s="8"/>
      <c r="I423" s="8"/>
      <c r="J423" s="9"/>
      <c r="K423" s="10" t="str">
        <f aca="false">IF(H423*J423=0,"",H423*J423)</f>
        <v/>
      </c>
      <c r="L423" s="11"/>
      <c r="M423" s="11"/>
      <c r="N423" s="10" t="str">
        <f aca="false">IF(L423+M423=0,"",L423+M423)</f>
        <v/>
      </c>
      <c r="O423" s="12" t="str">
        <f aca="false">IF(OR(H423="",I423="",J423=""),"",IF(F423="Long",(I423-H423)*J423*IF(G423="",1,G423),(H423-I423)*J423*IF(G423="",1,G423)))</f>
        <v/>
      </c>
      <c r="P423" s="13" t="str">
        <f aca="false">IF(O423="","",O423-IF(N423="",0,N423))</f>
        <v/>
      </c>
      <c r="Q423" s="14" t="str">
        <f aca="false">IFERROR(IF(P423="","",P423/K423),"")</f>
        <v/>
      </c>
      <c r="R423" s="6"/>
      <c r="S423" s="5"/>
      <c r="T423" s="15"/>
    </row>
    <row r="424" customFormat="false" ht="18" hidden="false" customHeight="true" outlineLevel="0" collapsed="false">
      <c r="A424" s="16" t="str">
        <f aca="false">IF(B424&lt;&gt;"",ROW()-2,"")</f>
        <v/>
      </c>
      <c r="B424" s="17"/>
      <c r="C424" s="17"/>
      <c r="D424" s="18"/>
      <c r="E424" s="19"/>
      <c r="F424" s="18"/>
      <c r="G424" s="20"/>
      <c r="H424" s="21"/>
      <c r="I424" s="21"/>
      <c r="J424" s="22"/>
      <c r="K424" s="23" t="str">
        <f aca="false">IF(H424*J424=0,"",H424*J424)</f>
        <v/>
      </c>
      <c r="L424" s="24"/>
      <c r="M424" s="24"/>
      <c r="N424" s="23" t="str">
        <f aca="false">IF(L424+M424=0,"",L424+M424)</f>
        <v/>
      </c>
      <c r="O424" s="25" t="str">
        <f aca="false">IF(OR(H424="",I424="",J424=""),"",IF(F424="Long",(I424-H424)*J424*IF(G424="",1,G424),(H424-I424)*J424*IF(G424="",1,G424)))</f>
        <v/>
      </c>
      <c r="P424" s="26" t="str">
        <f aca="false">IF(O424="","",O424-IF(N424="",0,N424))</f>
        <v/>
      </c>
      <c r="Q424" s="27" t="str">
        <f aca="false">IFERROR(IF(P424="","",P424/K424),"")</f>
        <v/>
      </c>
      <c r="R424" s="19"/>
      <c r="S424" s="18"/>
      <c r="T424" s="28"/>
    </row>
    <row r="425" customFormat="false" ht="18" hidden="false" customHeight="true" outlineLevel="0" collapsed="false">
      <c r="A425" s="3" t="str">
        <f aca="false">IF(B425&lt;&gt;"",ROW()-2,"")</f>
        <v/>
      </c>
      <c r="B425" s="4"/>
      <c r="C425" s="4"/>
      <c r="D425" s="5"/>
      <c r="E425" s="6"/>
      <c r="F425" s="5"/>
      <c r="G425" s="7"/>
      <c r="H425" s="8"/>
      <c r="I425" s="8"/>
      <c r="J425" s="9"/>
      <c r="K425" s="10" t="str">
        <f aca="false">IF(H425*J425=0,"",H425*J425)</f>
        <v/>
      </c>
      <c r="L425" s="11"/>
      <c r="M425" s="11"/>
      <c r="N425" s="10" t="str">
        <f aca="false">IF(L425+M425=0,"",L425+M425)</f>
        <v/>
      </c>
      <c r="O425" s="12" t="str">
        <f aca="false">IF(OR(H425="",I425="",J425=""),"",IF(F425="Long",(I425-H425)*J425*IF(G425="",1,G425),(H425-I425)*J425*IF(G425="",1,G425)))</f>
        <v/>
      </c>
      <c r="P425" s="13" t="str">
        <f aca="false">IF(O425="","",O425-IF(N425="",0,N425))</f>
        <v/>
      </c>
      <c r="Q425" s="14" t="str">
        <f aca="false">IFERROR(IF(P425="","",P425/K425),"")</f>
        <v/>
      </c>
      <c r="R425" s="6"/>
      <c r="S425" s="5"/>
      <c r="T425" s="15"/>
    </row>
    <row r="426" customFormat="false" ht="18" hidden="false" customHeight="true" outlineLevel="0" collapsed="false">
      <c r="A426" s="16" t="str">
        <f aca="false">IF(B426&lt;&gt;"",ROW()-2,"")</f>
        <v/>
      </c>
      <c r="B426" s="17"/>
      <c r="C426" s="17"/>
      <c r="D426" s="18"/>
      <c r="E426" s="19"/>
      <c r="F426" s="18"/>
      <c r="G426" s="20"/>
      <c r="H426" s="21"/>
      <c r="I426" s="21"/>
      <c r="J426" s="22"/>
      <c r="K426" s="23" t="str">
        <f aca="false">IF(H426*J426=0,"",H426*J426)</f>
        <v/>
      </c>
      <c r="L426" s="24"/>
      <c r="M426" s="24"/>
      <c r="N426" s="23" t="str">
        <f aca="false">IF(L426+M426=0,"",L426+M426)</f>
        <v/>
      </c>
      <c r="O426" s="25" t="str">
        <f aca="false">IF(OR(H426="",I426="",J426=""),"",IF(F426="Long",(I426-H426)*J426*IF(G426="",1,G426),(H426-I426)*J426*IF(G426="",1,G426)))</f>
        <v/>
      </c>
      <c r="P426" s="26" t="str">
        <f aca="false">IF(O426="","",O426-IF(N426="",0,N426))</f>
        <v/>
      </c>
      <c r="Q426" s="27" t="str">
        <f aca="false">IFERROR(IF(P426="","",P426/K426),"")</f>
        <v/>
      </c>
      <c r="R426" s="19"/>
      <c r="S426" s="18"/>
      <c r="T426" s="28"/>
    </row>
    <row r="427" customFormat="false" ht="18" hidden="false" customHeight="true" outlineLevel="0" collapsed="false">
      <c r="A427" s="3" t="str">
        <f aca="false">IF(B427&lt;&gt;"",ROW()-2,"")</f>
        <v/>
      </c>
      <c r="B427" s="4"/>
      <c r="C427" s="4"/>
      <c r="D427" s="5"/>
      <c r="E427" s="6"/>
      <c r="F427" s="5"/>
      <c r="G427" s="7"/>
      <c r="H427" s="8"/>
      <c r="I427" s="8"/>
      <c r="J427" s="9"/>
      <c r="K427" s="10" t="str">
        <f aca="false">IF(H427*J427=0,"",H427*J427)</f>
        <v/>
      </c>
      <c r="L427" s="11"/>
      <c r="M427" s="11"/>
      <c r="N427" s="10" t="str">
        <f aca="false">IF(L427+M427=0,"",L427+M427)</f>
        <v/>
      </c>
      <c r="O427" s="12" t="str">
        <f aca="false">IF(OR(H427="",I427="",J427=""),"",IF(F427="Long",(I427-H427)*J427*IF(G427="",1,G427),(H427-I427)*J427*IF(G427="",1,G427)))</f>
        <v/>
      </c>
      <c r="P427" s="13" t="str">
        <f aca="false">IF(O427="","",O427-IF(N427="",0,N427))</f>
        <v/>
      </c>
      <c r="Q427" s="14" t="str">
        <f aca="false">IFERROR(IF(P427="","",P427/K427),"")</f>
        <v/>
      </c>
      <c r="R427" s="6"/>
      <c r="S427" s="5"/>
      <c r="T427" s="15"/>
    </row>
    <row r="428" customFormat="false" ht="18" hidden="false" customHeight="true" outlineLevel="0" collapsed="false">
      <c r="A428" s="16" t="str">
        <f aca="false">IF(B428&lt;&gt;"",ROW()-2,"")</f>
        <v/>
      </c>
      <c r="B428" s="17"/>
      <c r="C428" s="17"/>
      <c r="D428" s="18"/>
      <c r="E428" s="19"/>
      <c r="F428" s="18"/>
      <c r="G428" s="20"/>
      <c r="H428" s="21"/>
      <c r="I428" s="21"/>
      <c r="J428" s="22"/>
      <c r="K428" s="23" t="str">
        <f aca="false">IF(H428*J428=0,"",H428*J428)</f>
        <v/>
      </c>
      <c r="L428" s="24"/>
      <c r="M428" s="24"/>
      <c r="N428" s="23" t="str">
        <f aca="false">IF(L428+M428=0,"",L428+M428)</f>
        <v/>
      </c>
      <c r="O428" s="25" t="str">
        <f aca="false">IF(OR(H428="",I428="",J428=""),"",IF(F428="Long",(I428-H428)*J428*IF(G428="",1,G428),(H428-I428)*J428*IF(G428="",1,G428)))</f>
        <v/>
      </c>
      <c r="P428" s="26" t="str">
        <f aca="false">IF(O428="","",O428-IF(N428="",0,N428))</f>
        <v/>
      </c>
      <c r="Q428" s="27" t="str">
        <f aca="false">IFERROR(IF(P428="","",P428/K428),"")</f>
        <v/>
      </c>
      <c r="R428" s="19"/>
      <c r="S428" s="18"/>
      <c r="T428" s="28"/>
    </row>
    <row r="429" customFormat="false" ht="18" hidden="false" customHeight="true" outlineLevel="0" collapsed="false">
      <c r="A429" s="3" t="str">
        <f aca="false">IF(B429&lt;&gt;"",ROW()-2,"")</f>
        <v/>
      </c>
      <c r="B429" s="4"/>
      <c r="C429" s="4"/>
      <c r="D429" s="5"/>
      <c r="E429" s="6"/>
      <c r="F429" s="5"/>
      <c r="G429" s="7"/>
      <c r="H429" s="8"/>
      <c r="I429" s="8"/>
      <c r="J429" s="9"/>
      <c r="K429" s="10" t="str">
        <f aca="false">IF(H429*J429=0,"",H429*J429)</f>
        <v/>
      </c>
      <c r="L429" s="11"/>
      <c r="M429" s="11"/>
      <c r="N429" s="10" t="str">
        <f aca="false">IF(L429+M429=0,"",L429+M429)</f>
        <v/>
      </c>
      <c r="O429" s="12" t="str">
        <f aca="false">IF(OR(H429="",I429="",J429=""),"",IF(F429="Long",(I429-H429)*J429*IF(G429="",1,G429),(H429-I429)*J429*IF(G429="",1,G429)))</f>
        <v/>
      </c>
      <c r="P429" s="13" t="str">
        <f aca="false">IF(O429="","",O429-IF(N429="",0,N429))</f>
        <v/>
      </c>
      <c r="Q429" s="14" t="str">
        <f aca="false">IFERROR(IF(P429="","",P429/K429),"")</f>
        <v/>
      </c>
      <c r="R429" s="6"/>
      <c r="S429" s="5"/>
      <c r="T429" s="15"/>
    </row>
    <row r="430" customFormat="false" ht="18" hidden="false" customHeight="true" outlineLevel="0" collapsed="false">
      <c r="A430" s="16" t="str">
        <f aca="false">IF(B430&lt;&gt;"",ROW()-2,"")</f>
        <v/>
      </c>
      <c r="B430" s="17"/>
      <c r="C430" s="17"/>
      <c r="D430" s="18"/>
      <c r="E430" s="19"/>
      <c r="F430" s="18"/>
      <c r="G430" s="20"/>
      <c r="H430" s="21"/>
      <c r="I430" s="21"/>
      <c r="J430" s="22"/>
      <c r="K430" s="23" t="str">
        <f aca="false">IF(H430*J430=0,"",H430*J430)</f>
        <v/>
      </c>
      <c r="L430" s="24"/>
      <c r="M430" s="24"/>
      <c r="N430" s="23" t="str">
        <f aca="false">IF(L430+M430=0,"",L430+M430)</f>
        <v/>
      </c>
      <c r="O430" s="25" t="str">
        <f aca="false">IF(OR(H430="",I430="",J430=""),"",IF(F430="Long",(I430-H430)*J430*IF(G430="",1,G430),(H430-I430)*J430*IF(G430="",1,G430)))</f>
        <v/>
      </c>
      <c r="P430" s="26" t="str">
        <f aca="false">IF(O430="","",O430-IF(N430="",0,N430))</f>
        <v/>
      </c>
      <c r="Q430" s="27" t="str">
        <f aca="false">IFERROR(IF(P430="","",P430/K430),"")</f>
        <v/>
      </c>
      <c r="R430" s="19"/>
      <c r="S430" s="18"/>
      <c r="T430" s="28"/>
    </row>
    <row r="431" customFormat="false" ht="18" hidden="false" customHeight="true" outlineLevel="0" collapsed="false">
      <c r="A431" s="3" t="str">
        <f aca="false">IF(B431&lt;&gt;"",ROW()-2,"")</f>
        <v/>
      </c>
      <c r="B431" s="4"/>
      <c r="C431" s="4"/>
      <c r="D431" s="5"/>
      <c r="E431" s="6"/>
      <c r="F431" s="5"/>
      <c r="G431" s="7"/>
      <c r="H431" s="8"/>
      <c r="I431" s="8"/>
      <c r="J431" s="9"/>
      <c r="K431" s="10" t="str">
        <f aca="false">IF(H431*J431=0,"",H431*J431)</f>
        <v/>
      </c>
      <c r="L431" s="11"/>
      <c r="M431" s="11"/>
      <c r="N431" s="10" t="str">
        <f aca="false">IF(L431+M431=0,"",L431+M431)</f>
        <v/>
      </c>
      <c r="O431" s="12" t="str">
        <f aca="false">IF(OR(H431="",I431="",J431=""),"",IF(F431="Long",(I431-H431)*J431*IF(G431="",1,G431),(H431-I431)*J431*IF(G431="",1,G431)))</f>
        <v/>
      </c>
      <c r="P431" s="13" t="str">
        <f aca="false">IF(O431="","",O431-IF(N431="",0,N431))</f>
        <v/>
      </c>
      <c r="Q431" s="14" t="str">
        <f aca="false">IFERROR(IF(P431="","",P431/K431),"")</f>
        <v/>
      </c>
      <c r="R431" s="6"/>
      <c r="S431" s="5"/>
      <c r="T431" s="15"/>
    </row>
    <row r="432" customFormat="false" ht="18" hidden="false" customHeight="true" outlineLevel="0" collapsed="false">
      <c r="A432" s="16" t="str">
        <f aca="false">IF(B432&lt;&gt;"",ROW()-2,"")</f>
        <v/>
      </c>
      <c r="B432" s="17"/>
      <c r="C432" s="17"/>
      <c r="D432" s="18"/>
      <c r="E432" s="19"/>
      <c r="F432" s="18"/>
      <c r="G432" s="20"/>
      <c r="H432" s="21"/>
      <c r="I432" s="21"/>
      <c r="J432" s="22"/>
      <c r="K432" s="23" t="str">
        <f aca="false">IF(H432*J432=0,"",H432*J432)</f>
        <v/>
      </c>
      <c r="L432" s="24"/>
      <c r="M432" s="24"/>
      <c r="N432" s="23" t="str">
        <f aca="false">IF(L432+M432=0,"",L432+M432)</f>
        <v/>
      </c>
      <c r="O432" s="25" t="str">
        <f aca="false">IF(OR(H432="",I432="",J432=""),"",IF(F432="Long",(I432-H432)*J432*IF(G432="",1,G432),(H432-I432)*J432*IF(G432="",1,G432)))</f>
        <v/>
      </c>
      <c r="P432" s="26" t="str">
        <f aca="false">IF(O432="","",O432-IF(N432="",0,N432))</f>
        <v/>
      </c>
      <c r="Q432" s="27" t="str">
        <f aca="false">IFERROR(IF(P432="","",P432/K432),"")</f>
        <v/>
      </c>
      <c r="R432" s="19"/>
      <c r="S432" s="18"/>
      <c r="T432" s="28"/>
    </row>
    <row r="433" customFormat="false" ht="18" hidden="false" customHeight="true" outlineLevel="0" collapsed="false">
      <c r="A433" s="3" t="str">
        <f aca="false">IF(B433&lt;&gt;"",ROW()-2,"")</f>
        <v/>
      </c>
      <c r="B433" s="4"/>
      <c r="C433" s="4"/>
      <c r="D433" s="5"/>
      <c r="E433" s="6"/>
      <c r="F433" s="5"/>
      <c r="G433" s="7"/>
      <c r="H433" s="8"/>
      <c r="I433" s="8"/>
      <c r="J433" s="9"/>
      <c r="K433" s="10" t="str">
        <f aca="false">IF(H433*J433=0,"",H433*J433)</f>
        <v/>
      </c>
      <c r="L433" s="11"/>
      <c r="M433" s="11"/>
      <c r="N433" s="10" t="str">
        <f aca="false">IF(L433+M433=0,"",L433+M433)</f>
        <v/>
      </c>
      <c r="O433" s="12" t="str">
        <f aca="false">IF(OR(H433="",I433="",J433=""),"",IF(F433="Long",(I433-H433)*J433*IF(G433="",1,G433),(H433-I433)*J433*IF(G433="",1,G433)))</f>
        <v/>
      </c>
      <c r="P433" s="13" t="str">
        <f aca="false">IF(O433="","",O433-IF(N433="",0,N433))</f>
        <v/>
      </c>
      <c r="Q433" s="14" t="str">
        <f aca="false">IFERROR(IF(P433="","",P433/K433),"")</f>
        <v/>
      </c>
      <c r="R433" s="6"/>
      <c r="S433" s="5"/>
      <c r="T433" s="15"/>
    </row>
    <row r="434" customFormat="false" ht="18" hidden="false" customHeight="true" outlineLevel="0" collapsed="false">
      <c r="A434" s="16" t="str">
        <f aca="false">IF(B434&lt;&gt;"",ROW()-2,"")</f>
        <v/>
      </c>
      <c r="B434" s="17"/>
      <c r="C434" s="17"/>
      <c r="D434" s="18"/>
      <c r="E434" s="19"/>
      <c r="F434" s="18"/>
      <c r="G434" s="20"/>
      <c r="H434" s="21"/>
      <c r="I434" s="21"/>
      <c r="J434" s="22"/>
      <c r="K434" s="23" t="str">
        <f aca="false">IF(H434*J434=0,"",H434*J434)</f>
        <v/>
      </c>
      <c r="L434" s="24"/>
      <c r="M434" s="24"/>
      <c r="N434" s="23" t="str">
        <f aca="false">IF(L434+M434=0,"",L434+M434)</f>
        <v/>
      </c>
      <c r="O434" s="25" t="str">
        <f aca="false">IF(OR(H434="",I434="",J434=""),"",IF(F434="Long",(I434-H434)*J434*IF(G434="",1,G434),(H434-I434)*J434*IF(G434="",1,G434)))</f>
        <v/>
      </c>
      <c r="P434" s="26" t="str">
        <f aca="false">IF(O434="","",O434-IF(N434="",0,N434))</f>
        <v/>
      </c>
      <c r="Q434" s="27" t="str">
        <f aca="false">IFERROR(IF(P434="","",P434/K434),"")</f>
        <v/>
      </c>
      <c r="R434" s="19"/>
      <c r="S434" s="18"/>
      <c r="T434" s="28"/>
    </row>
    <row r="435" customFormat="false" ht="18" hidden="false" customHeight="true" outlineLevel="0" collapsed="false">
      <c r="A435" s="3" t="str">
        <f aca="false">IF(B435&lt;&gt;"",ROW()-2,"")</f>
        <v/>
      </c>
      <c r="B435" s="4"/>
      <c r="C435" s="4"/>
      <c r="D435" s="5"/>
      <c r="E435" s="6"/>
      <c r="F435" s="5"/>
      <c r="G435" s="7"/>
      <c r="H435" s="8"/>
      <c r="I435" s="8"/>
      <c r="J435" s="9"/>
      <c r="K435" s="10" t="str">
        <f aca="false">IF(H435*J435=0,"",H435*J435)</f>
        <v/>
      </c>
      <c r="L435" s="11"/>
      <c r="M435" s="11"/>
      <c r="N435" s="10" t="str">
        <f aca="false">IF(L435+M435=0,"",L435+M435)</f>
        <v/>
      </c>
      <c r="O435" s="12" t="str">
        <f aca="false">IF(OR(H435="",I435="",J435=""),"",IF(F435="Long",(I435-H435)*J435*IF(G435="",1,G435),(H435-I435)*J435*IF(G435="",1,G435)))</f>
        <v/>
      </c>
      <c r="P435" s="13" t="str">
        <f aca="false">IF(O435="","",O435-IF(N435="",0,N435))</f>
        <v/>
      </c>
      <c r="Q435" s="14" t="str">
        <f aca="false">IFERROR(IF(P435="","",P435/K435),"")</f>
        <v/>
      </c>
      <c r="R435" s="6"/>
      <c r="S435" s="5"/>
      <c r="T435" s="15"/>
    </row>
    <row r="436" customFormat="false" ht="18" hidden="false" customHeight="true" outlineLevel="0" collapsed="false">
      <c r="A436" s="16" t="str">
        <f aca="false">IF(B436&lt;&gt;"",ROW()-2,"")</f>
        <v/>
      </c>
      <c r="B436" s="17"/>
      <c r="C436" s="17"/>
      <c r="D436" s="18"/>
      <c r="E436" s="19"/>
      <c r="F436" s="18"/>
      <c r="G436" s="20"/>
      <c r="H436" s="21"/>
      <c r="I436" s="21"/>
      <c r="J436" s="22"/>
      <c r="K436" s="23" t="str">
        <f aca="false">IF(H436*J436=0,"",H436*J436)</f>
        <v/>
      </c>
      <c r="L436" s="24"/>
      <c r="M436" s="24"/>
      <c r="N436" s="23" t="str">
        <f aca="false">IF(L436+M436=0,"",L436+M436)</f>
        <v/>
      </c>
      <c r="O436" s="25" t="str">
        <f aca="false">IF(OR(H436="",I436="",J436=""),"",IF(F436="Long",(I436-H436)*J436*IF(G436="",1,G436),(H436-I436)*J436*IF(G436="",1,G436)))</f>
        <v/>
      </c>
      <c r="P436" s="26" t="str">
        <f aca="false">IF(O436="","",O436-IF(N436="",0,N436))</f>
        <v/>
      </c>
      <c r="Q436" s="27" t="str">
        <f aca="false">IFERROR(IF(P436="","",P436/K436),"")</f>
        <v/>
      </c>
      <c r="R436" s="19"/>
      <c r="S436" s="18"/>
      <c r="T436" s="28"/>
    </row>
    <row r="437" customFormat="false" ht="18" hidden="false" customHeight="true" outlineLevel="0" collapsed="false">
      <c r="A437" s="3" t="str">
        <f aca="false">IF(B437&lt;&gt;"",ROW()-2,"")</f>
        <v/>
      </c>
      <c r="B437" s="4"/>
      <c r="C437" s="4"/>
      <c r="D437" s="5"/>
      <c r="E437" s="6"/>
      <c r="F437" s="5"/>
      <c r="G437" s="7"/>
      <c r="H437" s="8"/>
      <c r="I437" s="8"/>
      <c r="J437" s="9"/>
      <c r="K437" s="10" t="str">
        <f aca="false">IF(H437*J437=0,"",H437*J437)</f>
        <v/>
      </c>
      <c r="L437" s="11"/>
      <c r="M437" s="11"/>
      <c r="N437" s="10" t="str">
        <f aca="false">IF(L437+M437=0,"",L437+M437)</f>
        <v/>
      </c>
      <c r="O437" s="12" t="str">
        <f aca="false">IF(OR(H437="",I437="",J437=""),"",IF(F437="Long",(I437-H437)*J437*IF(G437="",1,G437),(H437-I437)*J437*IF(G437="",1,G437)))</f>
        <v/>
      </c>
      <c r="P437" s="13" t="str">
        <f aca="false">IF(O437="","",O437-IF(N437="",0,N437))</f>
        <v/>
      </c>
      <c r="Q437" s="14" t="str">
        <f aca="false">IFERROR(IF(P437="","",P437/K437),"")</f>
        <v/>
      </c>
      <c r="R437" s="6"/>
      <c r="S437" s="5"/>
      <c r="T437" s="15"/>
    </row>
    <row r="438" customFormat="false" ht="18" hidden="false" customHeight="true" outlineLevel="0" collapsed="false">
      <c r="A438" s="16" t="str">
        <f aca="false">IF(B438&lt;&gt;"",ROW()-2,"")</f>
        <v/>
      </c>
      <c r="B438" s="17"/>
      <c r="C438" s="17"/>
      <c r="D438" s="18"/>
      <c r="E438" s="19"/>
      <c r="F438" s="18"/>
      <c r="G438" s="20"/>
      <c r="H438" s="21"/>
      <c r="I438" s="21"/>
      <c r="J438" s="22"/>
      <c r="K438" s="23" t="str">
        <f aca="false">IF(H438*J438=0,"",H438*J438)</f>
        <v/>
      </c>
      <c r="L438" s="24"/>
      <c r="M438" s="24"/>
      <c r="N438" s="23" t="str">
        <f aca="false">IF(L438+M438=0,"",L438+M438)</f>
        <v/>
      </c>
      <c r="O438" s="25" t="str">
        <f aca="false">IF(OR(H438="",I438="",J438=""),"",IF(F438="Long",(I438-H438)*J438*IF(G438="",1,G438),(H438-I438)*J438*IF(G438="",1,G438)))</f>
        <v/>
      </c>
      <c r="P438" s="26" t="str">
        <f aca="false">IF(O438="","",O438-IF(N438="",0,N438))</f>
        <v/>
      </c>
      <c r="Q438" s="27" t="str">
        <f aca="false">IFERROR(IF(P438="","",P438/K438),"")</f>
        <v/>
      </c>
      <c r="R438" s="19"/>
      <c r="S438" s="18"/>
      <c r="T438" s="28"/>
    </row>
    <row r="439" customFormat="false" ht="18" hidden="false" customHeight="true" outlineLevel="0" collapsed="false">
      <c r="A439" s="3" t="str">
        <f aca="false">IF(B439&lt;&gt;"",ROW()-2,"")</f>
        <v/>
      </c>
      <c r="B439" s="4"/>
      <c r="C439" s="4"/>
      <c r="D439" s="5"/>
      <c r="E439" s="6"/>
      <c r="F439" s="5"/>
      <c r="G439" s="7"/>
      <c r="H439" s="8"/>
      <c r="I439" s="8"/>
      <c r="J439" s="9"/>
      <c r="K439" s="10" t="str">
        <f aca="false">IF(H439*J439=0,"",H439*J439)</f>
        <v/>
      </c>
      <c r="L439" s="11"/>
      <c r="M439" s="11"/>
      <c r="N439" s="10" t="str">
        <f aca="false">IF(L439+M439=0,"",L439+M439)</f>
        <v/>
      </c>
      <c r="O439" s="12" t="str">
        <f aca="false">IF(OR(H439="",I439="",J439=""),"",IF(F439="Long",(I439-H439)*J439*IF(G439="",1,G439),(H439-I439)*J439*IF(G439="",1,G439)))</f>
        <v/>
      </c>
      <c r="P439" s="13" t="str">
        <f aca="false">IF(O439="","",O439-IF(N439="",0,N439))</f>
        <v/>
      </c>
      <c r="Q439" s="14" t="str">
        <f aca="false">IFERROR(IF(P439="","",P439/K439),"")</f>
        <v/>
      </c>
      <c r="R439" s="6"/>
      <c r="S439" s="5"/>
      <c r="T439" s="15"/>
    </row>
    <row r="440" customFormat="false" ht="18" hidden="false" customHeight="true" outlineLevel="0" collapsed="false">
      <c r="A440" s="16" t="str">
        <f aca="false">IF(B440&lt;&gt;"",ROW()-2,"")</f>
        <v/>
      </c>
      <c r="B440" s="17"/>
      <c r="C440" s="17"/>
      <c r="D440" s="18"/>
      <c r="E440" s="19"/>
      <c r="F440" s="18"/>
      <c r="G440" s="20"/>
      <c r="H440" s="21"/>
      <c r="I440" s="21"/>
      <c r="J440" s="22"/>
      <c r="K440" s="23" t="str">
        <f aca="false">IF(H440*J440=0,"",H440*J440)</f>
        <v/>
      </c>
      <c r="L440" s="24"/>
      <c r="M440" s="24"/>
      <c r="N440" s="23" t="str">
        <f aca="false">IF(L440+M440=0,"",L440+M440)</f>
        <v/>
      </c>
      <c r="O440" s="25" t="str">
        <f aca="false">IF(OR(H440="",I440="",J440=""),"",IF(F440="Long",(I440-H440)*J440*IF(G440="",1,G440),(H440-I440)*J440*IF(G440="",1,G440)))</f>
        <v/>
      </c>
      <c r="P440" s="26" t="str">
        <f aca="false">IF(O440="","",O440-IF(N440="",0,N440))</f>
        <v/>
      </c>
      <c r="Q440" s="27" t="str">
        <f aca="false">IFERROR(IF(P440="","",P440/K440),"")</f>
        <v/>
      </c>
      <c r="R440" s="19"/>
      <c r="S440" s="18"/>
      <c r="T440" s="28"/>
    </row>
    <row r="441" customFormat="false" ht="18" hidden="false" customHeight="true" outlineLevel="0" collapsed="false">
      <c r="A441" s="3" t="str">
        <f aca="false">IF(B441&lt;&gt;"",ROW()-2,"")</f>
        <v/>
      </c>
      <c r="B441" s="4"/>
      <c r="C441" s="4"/>
      <c r="D441" s="5"/>
      <c r="E441" s="6"/>
      <c r="F441" s="5"/>
      <c r="G441" s="7"/>
      <c r="H441" s="8"/>
      <c r="I441" s="8"/>
      <c r="J441" s="9"/>
      <c r="K441" s="10" t="str">
        <f aca="false">IF(H441*J441=0,"",H441*J441)</f>
        <v/>
      </c>
      <c r="L441" s="11"/>
      <c r="M441" s="11"/>
      <c r="N441" s="10" t="str">
        <f aca="false">IF(L441+M441=0,"",L441+M441)</f>
        <v/>
      </c>
      <c r="O441" s="12" t="str">
        <f aca="false">IF(OR(H441="",I441="",J441=""),"",IF(F441="Long",(I441-H441)*J441*IF(G441="",1,G441),(H441-I441)*J441*IF(G441="",1,G441)))</f>
        <v/>
      </c>
      <c r="P441" s="13" t="str">
        <f aca="false">IF(O441="","",O441-IF(N441="",0,N441))</f>
        <v/>
      </c>
      <c r="Q441" s="14" t="str">
        <f aca="false">IFERROR(IF(P441="","",P441/K441),"")</f>
        <v/>
      </c>
      <c r="R441" s="6"/>
      <c r="S441" s="5"/>
      <c r="T441" s="15"/>
    </row>
    <row r="442" customFormat="false" ht="18" hidden="false" customHeight="true" outlineLevel="0" collapsed="false">
      <c r="A442" s="16" t="str">
        <f aca="false">IF(B442&lt;&gt;"",ROW()-2,"")</f>
        <v/>
      </c>
      <c r="B442" s="17"/>
      <c r="C442" s="17"/>
      <c r="D442" s="18"/>
      <c r="E442" s="19"/>
      <c r="F442" s="18"/>
      <c r="G442" s="20"/>
      <c r="H442" s="21"/>
      <c r="I442" s="21"/>
      <c r="J442" s="22"/>
      <c r="K442" s="23" t="str">
        <f aca="false">IF(H442*J442=0,"",H442*J442)</f>
        <v/>
      </c>
      <c r="L442" s="24"/>
      <c r="M442" s="24"/>
      <c r="N442" s="23" t="str">
        <f aca="false">IF(L442+M442=0,"",L442+M442)</f>
        <v/>
      </c>
      <c r="O442" s="25" t="str">
        <f aca="false">IF(OR(H442="",I442="",J442=""),"",IF(F442="Long",(I442-H442)*J442*IF(G442="",1,G442),(H442-I442)*J442*IF(G442="",1,G442)))</f>
        <v/>
      </c>
      <c r="P442" s="26" t="str">
        <f aca="false">IF(O442="","",O442-IF(N442="",0,N442))</f>
        <v/>
      </c>
      <c r="Q442" s="27" t="str">
        <f aca="false">IFERROR(IF(P442="","",P442/K442),"")</f>
        <v/>
      </c>
      <c r="R442" s="19"/>
      <c r="S442" s="18"/>
      <c r="T442" s="28"/>
    </row>
    <row r="443" customFormat="false" ht="18" hidden="false" customHeight="true" outlineLevel="0" collapsed="false">
      <c r="A443" s="3" t="str">
        <f aca="false">IF(B443&lt;&gt;"",ROW()-2,"")</f>
        <v/>
      </c>
      <c r="B443" s="4"/>
      <c r="C443" s="4"/>
      <c r="D443" s="5"/>
      <c r="E443" s="6"/>
      <c r="F443" s="5"/>
      <c r="G443" s="7"/>
      <c r="H443" s="8"/>
      <c r="I443" s="8"/>
      <c r="J443" s="9"/>
      <c r="K443" s="10" t="str">
        <f aca="false">IF(H443*J443=0,"",H443*J443)</f>
        <v/>
      </c>
      <c r="L443" s="11"/>
      <c r="M443" s="11"/>
      <c r="N443" s="10" t="str">
        <f aca="false">IF(L443+M443=0,"",L443+M443)</f>
        <v/>
      </c>
      <c r="O443" s="12" t="str">
        <f aca="false">IF(OR(H443="",I443="",J443=""),"",IF(F443="Long",(I443-H443)*J443*IF(G443="",1,G443),(H443-I443)*J443*IF(G443="",1,G443)))</f>
        <v/>
      </c>
      <c r="P443" s="13" t="str">
        <f aca="false">IF(O443="","",O443-IF(N443="",0,N443))</f>
        <v/>
      </c>
      <c r="Q443" s="14" t="str">
        <f aca="false">IFERROR(IF(P443="","",P443/K443),"")</f>
        <v/>
      </c>
      <c r="R443" s="6"/>
      <c r="S443" s="5"/>
      <c r="T443" s="15"/>
    </row>
    <row r="444" customFormat="false" ht="18" hidden="false" customHeight="true" outlineLevel="0" collapsed="false">
      <c r="A444" s="16" t="str">
        <f aca="false">IF(B444&lt;&gt;"",ROW()-2,"")</f>
        <v/>
      </c>
      <c r="B444" s="17"/>
      <c r="C444" s="17"/>
      <c r="D444" s="18"/>
      <c r="E444" s="19"/>
      <c r="F444" s="18"/>
      <c r="G444" s="20"/>
      <c r="H444" s="21"/>
      <c r="I444" s="21"/>
      <c r="J444" s="22"/>
      <c r="K444" s="23" t="str">
        <f aca="false">IF(H444*J444=0,"",H444*J444)</f>
        <v/>
      </c>
      <c r="L444" s="24"/>
      <c r="M444" s="24"/>
      <c r="N444" s="23" t="str">
        <f aca="false">IF(L444+M444=0,"",L444+M444)</f>
        <v/>
      </c>
      <c r="O444" s="25" t="str">
        <f aca="false">IF(OR(H444="",I444="",J444=""),"",IF(F444="Long",(I444-H444)*J444*IF(G444="",1,G444),(H444-I444)*J444*IF(G444="",1,G444)))</f>
        <v/>
      </c>
      <c r="P444" s="26" t="str">
        <f aca="false">IF(O444="","",O444-IF(N444="",0,N444))</f>
        <v/>
      </c>
      <c r="Q444" s="27" t="str">
        <f aca="false">IFERROR(IF(P444="","",P444/K444),"")</f>
        <v/>
      </c>
      <c r="R444" s="19"/>
      <c r="S444" s="18"/>
      <c r="T444" s="28"/>
    </row>
    <row r="445" customFormat="false" ht="18" hidden="false" customHeight="true" outlineLevel="0" collapsed="false">
      <c r="A445" s="3" t="str">
        <f aca="false">IF(B445&lt;&gt;"",ROW()-2,"")</f>
        <v/>
      </c>
      <c r="B445" s="4"/>
      <c r="C445" s="4"/>
      <c r="D445" s="5"/>
      <c r="E445" s="6"/>
      <c r="F445" s="5"/>
      <c r="G445" s="7"/>
      <c r="H445" s="8"/>
      <c r="I445" s="8"/>
      <c r="J445" s="9"/>
      <c r="K445" s="10" t="str">
        <f aca="false">IF(H445*J445=0,"",H445*J445)</f>
        <v/>
      </c>
      <c r="L445" s="11"/>
      <c r="M445" s="11"/>
      <c r="N445" s="10" t="str">
        <f aca="false">IF(L445+M445=0,"",L445+M445)</f>
        <v/>
      </c>
      <c r="O445" s="12" t="str">
        <f aca="false">IF(OR(H445="",I445="",J445=""),"",IF(F445="Long",(I445-H445)*J445*IF(G445="",1,G445),(H445-I445)*J445*IF(G445="",1,G445)))</f>
        <v/>
      </c>
      <c r="P445" s="13" t="str">
        <f aca="false">IF(O445="","",O445-IF(N445="",0,N445))</f>
        <v/>
      </c>
      <c r="Q445" s="14" t="str">
        <f aca="false">IFERROR(IF(P445="","",P445/K445),"")</f>
        <v/>
      </c>
      <c r="R445" s="6"/>
      <c r="S445" s="5"/>
      <c r="T445" s="15"/>
    </row>
    <row r="446" customFormat="false" ht="18" hidden="false" customHeight="true" outlineLevel="0" collapsed="false">
      <c r="A446" s="16" t="str">
        <f aca="false">IF(B446&lt;&gt;"",ROW()-2,"")</f>
        <v/>
      </c>
      <c r="B446" s="17"/>
      <c r="C446" s="17"/>
      <c r="D446" s="18"/>
      <c r="E446" s="19"/>
      <c r="F446" s="18"/>
      <c r="G446" s="20"/>
      <c r="H446" s="21"/>
      <c r="I446" s="21"/>
      <c r="J446" s="22"/>
      <c r="K446" s="23" t="str">
        <f aca="false">IF(H446*J446=0,"",H446*J446)</f>
        <v/>
      </c>
      <c r="L446" s="24"/>
      <c r="M446" s="24"/>
      <c r="N446" s="23" t="str">
        <f aca="false">IF(L446+M446=0,"",L446+M446)</f>
        <v/>
      </c>
      <c r="O446" s="25" t="str">
        <f aca="false">IF(OR(H446="",I446="",J446=""),"",IF(F446="Long",(I446-H446)*J446*IF(G446="",1,G446),(H446-I446)*J446*IF(G446="",1,G446)))</f>
        <v/>
      </c>
      <c r="P446" s="26" t="str">
        <f aca="false">IF(O446="","",O446-IF(N446="",0,N446))</f>
        <v/>
      </c>
      <c r="Q446" s="27" t="str">
        <f aca="false">IFERROR(IF(P446="","",P446/K446),"")</f>
        <v/>
      </c>
      <c r="R446" s="19"/>
      <c r="S446" s="18"/>
      <c r="T446" s="28"/>
    </row>
    <row r="447" customFormat="false" ht="18" hidden="false" customHeight="true" outlineLevel="0" collapsed="false">
      <c r="A447" s="3" t="str">
        <f aca="false">IF(B447&lt;&gt;"",ROW()-2,"")</f>
        <v/>
      </c>
      <c r="B447" s="4"/>
      <c r="C447" s="4"/>
      <c r="D447" s="5"/>
      <c r="E447" s="6"/>
      <c r="F447" s="5"/>
      <c r="G447" s="7"/>
      <c r="H447" s="8"/>
      <c r="I447" s="8"/>
      <c r="J447" s="9"/>
      <c r="K447" s="10" t="str">
        <f aca="false">IF(H447*J447=0,"",H447*J447)</f>
        <v/>
      </c>
      <c r="L447" s="11"/>
      <c r="M447" s="11"/>
      <c r="N447" s="10" t="str">
        <f aca="false">IF(L447+M447=0,"",L447+M447)</f>
        <v/>
      </c>
      <c r="O447" s="12" t="str">
        <f aca="false">IF(OR(H447="",I447="",J447=""),"",IF(F447="Long",(I447-H447)*J447*IF(G447="",1,G447),(H447-I447)*J447*IF(G447="",1,G447)))</f>
        <v/>
      </c>
      <c r="P447" s="13" t="str">
        <f aca="false">IF(O447="","",O447-IF(N447="",0,N447))</f>
        <v/>
      </c>
      <c r="Q447" s="14" t="str">
        <f aca="false">IFERROR(IF(P447="","",P447/K447),"")</f>
        <v/>
      </c>
      <c r="R447" s="6"/>
      <c r="S447" s="5"/>
      <c r="T447" s="15"/>
    </row>
    <row r="448" customFormat="false" ht="18" hidden="false" customHeight="true" outlineLevel="0" collapsed="false">
      <c r="A448" s="16" t="str">
        <f aca="false">IF(B448&lt;&gt;"",ROW()-2,"")</f>
        <v/>
      </c>
      <c r="B448" s="17"/>
      <c r="C448" s="17"/>
      <c r="D448" s="18"/>
      <c r="E448" s="19"/>
      <c r="F448" s="18"/>
      <c r="G448" s="20"/>
      <c r="H448" s="21"/>
      <c r="I448" s="21"/>
      <c r="J448" s="22"/>
      <c r="K448" s="23" t="str">
        <f aca="false">IF(H448*J448=0,"",H448*J448)</f>
        <v/>
      </c>
      <c r="L448" s="24"/>
      <c r="M448" s="24"/>
      <c r="N448" s="23" t="str">
        <f aca="false">IF(L448+M448=0,"",L448+M448)</f>
        <v/>
      </c>
      <c r="O448" s="25" t="str">
        <f aca="false">IF(OR(H448="",I448="",J448=""),"",IF(F448="Long",(I448-H448)*J448*IF(G448="",1,G448),(H448-I448)*J448*IF(G448="",1,G448)))</f>
        <v/>
      </c>
      <c r="P448" s="26" t="str">
        <f aca="false">IF(O448="","",O448-IF(N448="",0,N448))</f>
        <v/>
      </c>
      <c r="Q448" s="27" t="str">
        <f aca="false">IFERROR(IF(P448="","",P448/K448),"")</f>
        <v/>
      </c>
      <c r="R448" s="19"/>
      <c r="S448" s="18"/>
      <c r="T448" s="28"/>
    </row>
    <row r="449" customFormat="false" ht="18" hidden="false" customHeight="true" outlineLevel="0" collapsed="false">
      <c r="A449" s="3" t="str">
        <f aca="false">IF(B449&lt;&gt;"",ROW()-2,"")</f>
        <v/>
      </c>
      <c r="B449" s="4"/>
      <c r="C449" s="4"/>
      <c r="D449" s="5"/>
      <c r="E449" s="6"/>
      <c r="F449" s="5"/>
      <c r="G449" s="7"/>
      <c r="H449" s="8"/>
      <c r="I449" s="8"/>
      <c r="J449" s="9"/>
      <c r="K449" s="10" t="str">
        <f aca="false">IF(H449*J449=0,"",H449*J449)</f>
        <v/>
      </c>
      <c r="L449" s="11"/>
      <c r="M449" s="11"/>
      <c r="N449" s="10" t="str">
        <f aca="false">IF(L449+M449=0,"",L449+M449)</f>
        <v/>
      </c>
      <c r="O449" s="12" t="str">
        <f aca="false">IF(OR(H449="",I449="",J449=""),"",IF(F449="Long",(I449-H449)*J449*IF(G449="",1,G449),(H449-I449)*J449*IF(G449="",1,G449)))</f>
        <v/>
      </c>
      <c r="P449" s="13" t="str">
        <f aca="false">IF(O449="","",O449-IF(N449="",0,N449))</f>
        <v/>
      </c>
      <c r="Q449" s="14" t="str">
        <f aca="false">IFERROR(IF(P449="","",P449/K449),"")</f>
        <v/>
      </c>
      <c r="R449" s="6"/>
      <c r="S449" s="5"/>
      <c r="T449" s="15"/>
    </row>
    <row r="450" customFormat="false" ht="18" hidden="false" customHeight="true" outlineLevel="0" collapsed="false">
      <c r="A450" s="16" t="str">
        <f aca="false">IF(B450&lt;&gt;"",ROW()-2,"")</f>
        <v/>
      </c>
      <c r="B450" s="17"/>
      <c r="C450" s="17"/>
      <c r="D450" s="18"/>
      <c r="E450" s="19"/>
      <c r="F450" s="18"/>
      <c r="G450" s="20"/>
      <c r="H450" s="21"/>
      <c r="I450" s="21"/>
      <c r="J450" s="22"/>
      <c r="K450" s="23" t="str">
        <f aca="false">IF(H450*J450=0,"",H450*J450)</f>
        <v/>
      </c>
      <c r="L450" s="24"/>
      <c r="M450" s="24"/>
      <c r="N450" s="23" t="str">
        <f aca="false">IF(L450+M450=0,"",L450+M450)</f>
        <v/>
      </c>
      <c r="O450" s="25" t="str">
        <f aca="false">IF(OR(H450="",I450="",J450=""),"",IF(F450="Long",(I450-H450)*J450*IF(G450="",1,G450),(H450-I450)*J450*IF(G450="",1,G450)))</f>
        <v/>
      </c>
      <c r="P450" s="26" t="str">
        <f aca="false">IF(O450="","",O450-IF(N450="",0,N450))</f>
        <v/>
      </c>
      <c r="Q450" s="27" t="str">
        <f aca="false">IFERROR(IF(P450="","",P450/K450),"")</f>
        <v/>
      </c>
      <c r="R450" s="19"/>
      <c r="S450" s="18"/>
      <c r="T450" s="28"/>
    </row>
    <row r="451" customFormat="false" ht="18" hidden="false" customHeight="true" outlineLevel="0" collapsed="false">
      <c r="A451" s="3" t="str">
        <f aca="false">IF(B451&lt;&gt;"",ROW()-2,"")</f>
        <v/>
      </c>
      <c r="B451" s="4"/>
      <c r="C451" s="4"/>
      <c r="D451" s="5"/>
      <c r="E451" s="6"/>
      <c r="F451" s="5"/>
      <c r="G451" s="7"/>
      <c r="H451" s="8"/>
      <c r="I451" s="8"/>
      <c r="J451" s="9"/>
      <c r="K451" s="10" t="str">
        <f aca="false">IF(H451*J451=0,"",H451*J451)</f>
        <v/>
      </c>
      <c r="L451" s="11"/>
      <c r="M451" s="11"/>
      <c r="N451" s="10" t="str">
        <f aca="false">IF(L451+M451=0,"",L451+M451)</f>
        <v/>
      </c>
      <c r="O451" s="12" t="str">
        <f aca="false">IF(OR(H451="",I451="",J451=""),"",IF(F451="Long",(I451-H451)*J451*IF(G451="",1,G451),(H451-I451)*J451*IF(G451="",1,G451)))</f>
        <v/>
      </c>
      <c r="P451" s="13" t="str">
        <f aca="false">IF(O451="","",O451-IF(N451="",0,N451))</f>
        <v/>
      </c>
      <c r="Q451" s="14" t="str">
        <f aca="false">IFERROR(IF(P451="","",P451/K451),"")</f>
        <v/>
      </c>
      <c r="R451" s="6"/>
      <c r="S451" s="5"/>
      <c r="T451" s="15"/>
    </row>
    <row r="452" customFormat="false" ht="18" hidden="false" customHeight="true" outlineLevel="0" collapsed="false">
      <c r="A452" s="16" t="str">
        <f aca="false">IF(B452&lt;&gt;"",ROW()-2,"")</f>
        <v/>
      </c>
      <c r="B452" s="17"/>
      <c r="C452" s="17"/>
      <c r="D452" s="18"/>
      <c r="E452" s="19"/>
      <c r="F452" s="18"/>
      <c r="G452" s="20"/>
      <c r="H452" s="21"/>
      <c r="I452" s="21"/>
      <c r="J452" s="22"/>
      <c r="K452" s="23" t="str">
        <f aca="false">IF(H452*J452=0,"",H452*J452)</f>
        <v/>
      </c>
      <c r="L452" s="24"/>
      <c r="M452" s="24"/>
      <c r="N452" s="23" t="str">
        <f aca="false">IF(L452+M452=0,"",L452+M452)</f>
        <v/>
      </c>
      <c r="O452" s="25" t="str">
        <f aca="false">IF(OR(H452="",I452="",J452=""),"",IF(F452="Long",(I452-H452)*J452*IF(G452="",1,G452),(H452-I452)*J452*IF(G452="",1,G452)))</f>
        <v/>
      </c>
      <c r="P452" s="26" t="str">
        <f aca="false">IF(O452="","",O452-IF(N452="",0,N452))</f>
        <v/>
      </c>
      <c r="Q452" s="27" t="str">
        <f aca="false">IFERROR(IF(P452="","",P452/K452),"")</f>
        <v/>
      </c>
      <c r="R452" s="19"/>
      <c r="S452" s="18"/>
      <c r="T452" s="28"/>
    </row>
    <row r="453" customFormat="false" ht="18" hidden="false" customHeight="true" outlineLevel="0" collapsed="false">
      <c r="A453" s="3" t="str">
        <f aca="false">IF(B453&lt;&gt;"",ROW()-2,"")</f>
        <v/>
      </c>
      <c r="B453" s="4"/>
      <c r="C453" s="4"/>
      <c r="D453" s="5"/>
      <c r="E453" s="6"/>
      <c r="F453" s="5"/>
      <c r="G453" s="7"/>
      <c r="H453" s="8"/>
      <c r="I453" s="8"/>
      <c r="J453" s="9"/>
      <c r="K453" s="10" t="str">
        <f aca="false">IF(H453*J453=0,"",H453*J453)</f>
        <v/>
      </c>
      <c r="L453" s="11"/>
      <c r="M453" s="11"/>
      <c r="N453" s="10" t="str">
        <f aca="false">IF(L453+M453=0,"",L453+M453)</f>
        <v/>
      </c>
      <c r="O453" s="12" t="str">
        <f aca="false">IF(OR(H453="",I453="",J453=""),"",IF(F453="Long",(I453-H453)*J453*IF(G453="",1,G453),(H453-I453)*J453*IF(G453="",1,G453)))</f>
        <v/>
      </c>
      <c r="P453" s="13" t="str">
        <f aca="false">IF(O453="","",O453-IF(N453="",0,N453))</f>
        <v/>
      </c>
      <c r="Q453" s="14" t="str">
        <f aca="false">IFERROR(IF(P453="","",P453/K453),"")</f>
        <v/>
      </c>
      <c r="R453" s="6"/>
      <c r="S453" s="5"/>
      <c r="T453" s="15"/>
    </row>
    <row r="454" customFormat="false" ht="18" hidden="false" customHeight="true" outlineLevel="0" collapsed="false">
      <c r="A454" s="16" t="str">
        <f aca="false">IF(B454&lt;&gt;"",ROW()-2,"")</f>
        <v/>
      </c>
      <c r="B454" s="17"/>
      <c r="C454" s="17"/>
      <c r="D454" s="18"/>
      <c r="E454" s="19"/>
      <c r="F454" s="18"/>
      <c r="G454" s="20"/>
      <c r="H454" s="21"/>
      <c r="I454" s="21"/>
      <c r="J454" s="22"/>
      <c r="K454" s="23" t="str">
        <f aca="false">IF(H454*J454=0,"",H454*J454)</f>
        <v/>
      </c>
      <c r="L454" s="24"/>
      <c r="M454" s="24"/>
      <c r="N454" s="23" t="str">
        <f aca="false">IF(L454+M454=0,"",L454+M454)</f>
        <v/>
      </c>
      <c r="O454" s="25" t="str">
        <f aca="false">IF(OR(H454="",I454="",J454=""),"",IF(F454="Long",(I454-H454)*J454*IF(G454="",1,G454),(H454-I454)*J454*IF(G454="",1,G454)))</f>
        <v/>
      </c>
      <c r="P454" s="26" t="str">
        <f aca="false">IF(O454="","",O454-IF(N454="",0,N454))</f>
        <v/>
      </c>
      <c r="Q454" s="27" t="str">
        <f aca="false">IFERROR(IF(P454="","",P454/K454),"")</f>
        <v/>
      </c>
      <c r="R454" s="19"/>
      <c r="S454" s="18"/>
      <c r="T454" s="28"/>
    </row>
    <row r="455" customFormat="false" ht="18" hidden="false" customHeight="true" outlineLevel="0" collapsed="false">
      <c r="A455" s="3" t="str">
        <f aca="false">IF(B455&lt;&gt;"",ROW()-2,"")</f>
        <v/>
      </c>
      <c r="B455" s="4"/>
      <c r="C455" s="4"/>
      <c r="D455" s="5"/>
      <c r="E455" s="6"/>
      <c r="F455" s="5"/>
      <c r="G455" s="7"/>
      <c r="H455" s="8"/>
      <c r="I455" s="8"/>
      <c r="J455" s="9"/>
      <c r="K455" s="10" t="str">
        <f aca="false">IF(H455*J455=0,"",H455*J455)</f>
        <v/>
      </c>
      <c r="L455" s="11"/>
      <c r="M455" s="11"/>
      <c r="N455" s="10" t="str">
        <f aca="false">IF(L455+M455=0,"",L455+M455)</f>
        <v/>
      </c>
      <c r="O455" s="12" t="str">
        <f aca="false">IF(OR(H455="",I455="",J455=""),"",IF(F455="Long",(I455-H455)*J455*IF(G455="",1,G455),(H455-I455)*J455*IF(G455="",1,G455)))</f>
        <v/>
      </c>
      <c r="P455" s="13" t="str">
        <f aca="false">IF(O455="","",O455-IF(N455="",0,N455))</f>
        <v/>
      </c>
      <c r="Q455" s="14" t="str">
        <f aca="false">IFERROR(IF(P455="","",P455/K455),"")</f>
        <v/>
      </c>
      <c r="R455" s="6"/>
      <c r="S455" s="5"/>
      <c r="T455" s="15"/>
    </row>
    <row r="456" customFormat="false" ht="18" hidden="false" customHeight="true" outlineLevel="0" collapsed="false">
      <c r="A456" s="16" t="str">
        <f aca="false">IF(B456&lt;&gt;"",ROW()-2,"")</f>
        <v/>
      </c>
      <c r="B456" s="17"/>
      <c r="C456" s="17"/>
      <c r="D456" s="18"/>
      <c r="E456" s="19"/>
      <c r="F456" s="18"/>
      <c r="G456" s="20"/>
      <c r="H456" s="21"/>
      <c r="I456" s="21"/>
      <c r="J456" s="22"/>
      <c r="K456" s="23" t="str">
        <f aca="false">IF(H456*J456=0,"",H456*J456)</f>
        <v/>
      </c>
      <c r="L456" s="24"/>
      <c r="M456" s="24"/>
      <c r="N456" s="23" t="str">
        <f aca="false">IF(L456+M456=0,"",L456+M456)</f>
        <v/>
      </c>
      <c r="O456" s="25" t="str">
        <f aca="false">IF(OR(H456="",I456="",J456=""),"",IF(F456="Long",(I456-H456)*J456*IF(G456="",1,G456),(H456-I456)*J456*IF(G456="",1,G456)))</f>
        <v/>
      </c>
      <c r="P456" s="26" t="str">
        <f aca="false">IF(O456="","",O456-IF(N456="",0,N456))</f>
        <v/>
      </c>
      <c r="Q456" s="27" t="str">
        <f aca="false">IFERROR(IF(P456="","",P456/K456),"")</f>
        <v/>
      </c>
      <c r="R456" s="19"/>
      <c r="S456" s="18"/>
      <c r="T456" s="28"/>
    </row>
    <row r="457" customFormat="false" ht="18" hidden="false" customHeight="true" outlineLevel="0" collapsed="false">
      <c r="A457" s="3" t="str">
        <f aca="false">IF(B457&lt;&gt;"",ROW()-2,"")</f>
        <v/>
      </c>
      <c r="B457" s="4"/>
      <c r="C457" s="4"/>
      <c r="D457" s="5"/>
      <c r="E457" s="6"/>
      <c r="F457" s="5"/>
      <c r="G457" s="7"/>
      <c r="H457" s="8"/>
      <c r="I457" s="8"/>
      <c r="J457" s="9"/>
      <c r="K457" s="10" t="str">
        <f aca="false">IF(H457*J457=0,"",H457*J457)</f>
        <v/>
      </c>
      <c r="L457" s="11"/>
      <c r="M457" s="11"/>
      <c r="N457" s="10" t="str">
        <f aca="false">IF(L457+M457=0,"",L457+M457)</f>
        <v/>
      </c>
      <c r="O457" s="12" t="str">
        <f aca="false">IF(OR(H457="",I457="",J457=""),"",IF(F457="Long",(I457-H457)*J457*IF(G457="",1,G457),(H457-I457)*J457*IF(G457="",1,G457)))</f>
        <v/>
      </c>
      <c r="P457" s="13" t="str">
        <f aca="false">IF(O457="","",O457-IF(N457="",0,N457))</f>
        <v/>
      </c>
      <c r="Q457" s="14" t="str">
        <f aca="false">IFERROR(IF(P457="","",P457/K457),"")</f>
        <v/>
      </c>
      <c r="R457" s="6"/>
      <c r="S457" s="5"/>
      <c r="T457" s="15"/>
    </row>
    <row r="458" customFormat="false" ht="18" hidden="false" customHeight="true" outlineLevel="0" collapsed="false">
      <c r="A458" s="16" t="str">
        <f aca="false">IF(B458&lt;&gt;"",ROW()-2,"")</f>
        <v/>
      </c>
      <c r="B458" s="17"/>
      <c r="C458" s="17"/>
      <c r="D458" s="18"/>
      <c r="E458" s="19"/>
      <c r="F458" s="18"/>
      <c r="G458" s="20"/>
      <c r="H458" s="21"/>
      <c r="I458" s="21"/>
      <c r="J458" s="22"/>
      <c r="K458" s="23" t="str">
        <f aca="false">IF(H458*J458=0,"",H458*J458)</f>
        <v/>
      </c>
      <c r="L458" s="24"/>
      <c r="M458" s="24"/>
      <c r="N458" s="23" t="str">
        <f aca="false">IF(L458+M458=0,"",L458+M458)</f>
        <v/>
      </c>
      <c r="O458" s="25" t="str">
        <f aca="false">IF(OR(H458="",I458="",J458=""),"",IF(F458="Long",(I458-H458)*J458*IF(G458="",1,G458),(H458-I458)*J458*IF(G458="",1,G458)))</f>
        <v/>
      </c>
      <c r="P458" s="26" t="str">
        <f aca="false">IF(O458="","",O458-IF(N458="",0,N458))</f>
        <v/>
      </c>
      <c r="Q458" s="27" t="str">
        <f aca="false">IFERROR(IF(P458="","",P458/K458),"")</f>
        <v/>
      </c>
      <c r="R458" s="19"/>
      <c r="S458" s="18"/>
      <c r="T458" s="28"/>
    </row>
    <row r="459" customFormat="false" ht="18" hidden="false" customHeight="true" outlineLevel="0" collapsed="false">
      <c r="A459" s="3" t="str">
        <f aca="false">IF(B459&lt;&gt;"",ROW()-2,"")</f>
        <v/>
      </c>
      <c r="B459" s="4"/>
      <c r="C459" s="4"/>
      <c r="D459" s="5"/>
      <c r="E459" s="6"/>
      <c r="F459" s="5"/>
      <c r="G459" s="7"/>
      <c r="H459" s="8"/>
      <c r="I459" s="8"/>
      <c r="J459" s="9"/>
      <c r="K459" s="10" t="str">
        <f aca="false">IF(H459*J459=0,"",H459*J459)</f>
        <v/>
      </c>
      <c r="L459" s="11"/>
      <c r="M459" s="11"/>
      <c r="N459" s="10" t="str">
        <f aca="false">IF(L459+M459=0,"",L459+M459)</f>
        <v/>
      </c>
      <c r="O459" s="12" t="str">
        <f aca="false">IF(OR(H459="",I459="",J459=""),"",IF(F459="Long",(I459-H459)*J459*IF(G459="",1,G459),(H459-I459)*J459*IF(G459="",1,G459)))</f>
        <v/>
      </c>
      <c r="P459" s="13" t="str">
        <f aca="false">IF(O459="","",O459-IF(N459="",0,N459))</f>
        <v/>
      </c>
      <c r="Q459" s="14" t="str">
        <f aca="false">IFERROR(IF(P459="","",P459/K459),"")</f>
        <v/>
      </c>
      <c r="R459" s="6"/>
      <c r="S459" s="5"/>
      <c r="T459" s="15"/>
    </row>
    <row r="460" customFormat="false" ht="18" hidden="false" customHeight="true" outlineLevel="0" collapsed="false">
      <c r="A460" s="16" t="str">
        <f aca="false">IF(B460&lt;&gt;"",ROW()-2,"")</f>
        <v/>
      </c>
      <c r="B460" s="17"/>
      <c r="C460" s="17"/>
      <c r="D460" s="18"/>
      <c r="E460" s="19"/>
      <c r="F460" s="18"/>
      <c r="G460" s="20"/>
      <c r="H460" s="21"/>
      <c r="I460" s="21"/>
      <c r="J460" s="22"/>
      <c r="K460" s="23" t="str">
        <f aca="false">IF(H460*J460=0,"",H460*J460)</f>
        <v/>
      </c>
      <c r="L460" s="24"/>
      <c r="M460" s="24"/>
      <c r="N460" s="23" t="str">
        <f aca="false">IF(L460+M460=0,"",L460+M460)</f>
        <v/>
      </c>
      <c r="O460" s="25" t="str">
        <f aca="false">IF(OR(H460="",I460="",J460=""),"",IF(F460="Long",(I460-H460)*J460*IF(G460="",1,G460),(H460-I460)*J460*IF(G460="",1,G460)))</f>
        <v/>
      </c>
      <c r="P460" s="26" t="str">
        <f aca="false">IF(O460="","",O460-IF(N460="",0,N460))</f>
        <v/>
      </c>
      <c r="Q460" s="27" t="str">
        <f aca="false">IFERROR(IF(P460="","",P460/K460),"")</f>
        <v/>
      </c>
      <c r="R460" s="19"/>
      <c r="S460" s="18"/>
      <c r="T460" s="28"/>
    </row>
    <row r="461" customFormat="false" ht="18" hidden="false" customHeight="true" outlineLevel="0" collapsed="false">
      <c r="A461" s="3" t="str">
        <f aca="false">IF(B461&lt;&gt;"",ROW()-2,"")</f>
        <v/>
      </c>
      <c r="B461" s="4"/>
      <c r="C461" s="4"/>
      <c r="D461" s="5"/>
      <c r="E461" s="6"/>
      <c r="F461" s="5"/>
      <c r="G461" s="7"/>
      <c r="H461" s="8"/>
      <c r="I461" s="8"/>
      <c r="J461" s="9"/>
      <c r="K461" s="10" t="str">
        <f aca="false">IF(H461*J461=0,"",H461*J461)</f>
        <v/>
      </c>
      <c r="L461" s="11"/>
      <c r="M461" s="11"/>
      <c r="N461" s="10" t="str">
        <f aca="false">IF(L461+M461=0,"",L461+M461)</f>
        <v/>
      </c>
      <c r="O461" s="12" t="str">
        <f aca="false">IF(OR(H461="",I461="",J461=""),"",IF(F461="Long",(I461-H461)*J461*IF(G461="",1,G461),(H461-I461)*J461*IF(G461="",1,G461)))</f>
        <v/>
      </c>
      <c r="P461" s="13" t="str">
        <f aca="false">IF(O461="","",O461-IF(N461="",0,N461))</f>
        <v/>
      </c>
      <c r="Q461" s="14" t="str">
        <f aca="false">IFERROR(IF(P461="","",P461/K461),"")</f>
        <v/>
      </c>
      <c r="R461" s="6"/>
      <c r="S461" s="5"/>
      <c r="T461" s="15"/>
    </row>
    <row r="462" customFormat="false" ht="18" hidden="false" customHeight="true" outlineLevel="0" collapsed="false">
      <c r="A462" s="16" t="str">
        <f aca="false">IF(B462&lt;&gt;"",ROW()-2,"")</f>
        <v/>
      </c>
      <c r="B462" s="17"/>
      <c r="C462" s="17"/>
      <c r="D462" s="18"/>
      <c r="E462" s="19"/>
      <c r="F462" s="18"/>
      <c r="G462" s="20"/>
      <c r="H462" s="21"/>
      <c r="I462" s="21"/>
      <c r="J462" s="22"/>
      <c r="K462" s="23" t="str">
        <f aca="false">IF(H462*J462=0,"",H462*J462)</f>
        <v/>
      </c>
      <c r="L462" s="24"/>
      <c r="M462" s="24"/>
      <c r="N462" s="23" t="str">
        <f aca="false">IF(L462+M462=0,"",L462+M462)</f>
        <v/>
      </c>
      <c r="O462" s="25" t="str">
        <f aca="false">IF(OR(H462="",I462="",J462=""),"",IF(F462="Long",(I462-H462)*J462*IF(G462="",1,G462),(H462-I462)*J462*IF(G462="",1,G462)))</f>
        <v/>
      </c>
      <c r="P462" s="26" t="str">
        <f aca="false">IF(O462="","",O462-IF(N462="",0,N462))</f>
        <v/>
      </c>
      <c r="Q462" s="27" t="str">
        <f aca="false">IFERROR(IF(P462="","",P462/K462),"")</f>
        <v/>
      </c>
      <c r="R462" s="19"/>
      <c r="S462" s="18"/>
      <c r="T462" s="28"/>
    </row>
    <row r="463" customFormat="false" ht="18" hidden="false" customHeight="true" outlineLevel="0" collapsed="false">
      <c r="A463" s="3" t="str">
        <f aca="false">IF(B463&lt;&gt;"",ROW()-2,"")</f>
        <v/>
      </c>
      <c r="B463" s="4"/>
      <c r="C463" s="4"/>
      <c r="D463" s="5"/>
      <c r="E463" s="6"/>
      <c r="F463" s="5"/>
      <c r="G463" s="7"/>
      <c r="H463" s="8"/>
      <c r="I463" s="8"/>
      <c r="J463" s="9"/>
      <c r="K463" s="10" t="str">
        <f aca="false">IF(H463*J463=0,"",H463*J463)</f>
        <v/>
      </c>
      <c r="L463" s="11"/>
      <c r="M463" s="11"/>
      <c r="N463" s="10" t="str">
        <f aca="false">IF(L463+M463=0,"",L463+M463)</f>
        <v/>
      </c>
      <c r="O463" s="12" t="str">
        <f aca="false">IF(OR(H463="",I463="",J463=""),"",IF(F463="Long",(I463-H463)*J463*IF(G463="",1,G463),(H463-I463)*J463*IF(G463="",1,G463)))</f>
        <v/>
      </c>
      <c r="P463" s="13" t="str">
        <f aca="false">IF(O463="","",O463-IF(N463="",0,N463))</f>
        <v/>
      </c>
      <c r="Q463" s="14" t="str">
        <f aca="false">IFERROR(IF(P463="","",P463/K463),"")</f>
        <v/>
      </c>
      <c r="R463" s="6"/>
      <c r="S463" s="5"/>
      <c r="T463" s="15"/>
    </row>
    <row r="464" customFormat="false" ht="18" hidden="false" customHeight="true" outlineLevel="0" collapsed="false">
      <c r="A464" s="16" t="str">
        <f aca="false">IF(B464&lt;&gt;"",ROW()-2,"")</f>
        <v/>
      </c>
      <c r="B464" s="17"/>
      <c r="C464" s="17"/>
      <c r="D464" s="18"/>
      <c r="E464" s="19"/>
      <c r="F464" s="18"/>
      <c r="G464" s="20"/>
      <c r="H464" s="21"/>
      <c r="I464" s="21"/>
      <c r="J464" s="22"/>
      <c r="K464" s="23" t="str">
        <f aca="false">IF(H464*J464=0,"",H464*J464)</f>
        <v/>
      </c>
      <c r="L464" s="24"/>
      <c r="M464" s="24"/>
      <c r="N464" s="23" t="str">
        <f aca="false">IF(L464+M464=0,"",L464+M464)</f>
        <v/>
      </c>
      <c r="O464" s="25" t="str">
        <f aca="false">IF(OR(H464="",I464="",J464=""),"",IF(F464="Long",(I464-H464)*J464*IF(G464="",1,G464),(H464-I464)*J464*IF(G464="",1,G464)))</f>
        <v/>
      </c>
      <c r="P464" s="26" t="str">
        <f aca="false">IF(O464="","",O464-IF(N464="",0,N464))</f>
        <v/>
      </c>
      <c r="Q464" s="27" t="str">
        <f aca="false">IFERROR(IF(P464="","",P464/K464),"")</f>
        <v/>
      </c>
      <c r="R464" s="19"/>
      <c r="S464" s="18"/>
      <c r="T464" s="28"/>
    </row>
    <row r="465" customFormat="false" ht="18" hidden="false" customHeight="true" outlineLevel="0" collapsed="false">
      <c r="A465" s="3" t="str">
        <f aca="false">IF(B465&lt;&gt;"",ROW()-2,"")</f>
        <v/>
      </c>
      <c r="B465" s="4"/>
      <c r="C465" s="4"/>
      <c r="D465" s="5"/>
      <c r="E465" s="6"/>
      <c r="F465" s="5"/>
      <c r="G465" s="7"/>
      <c r="H465" s="8"/>
      <c r="I465" s="8"/>
      <c r="J465" s="9"/>
      <c r="K465" s="10" t="str">
        <f aca="false">IF(H465*J465=0,"",H465*J465)</f>
        <v/>
      </c>
      <c r="L465" s="11"/>
      <c r="M465" s="11"/>
      <c r="N465" s="10" t="str">
        <f aca="false">IF(L465+M465=0,"",L465+M465)</f>
        <v/>
      </c>
      <c r="O465" s="12" t="str">
        <f aca="false">IF(OR(H465="",I465="",J465=""),"",IF(F465="Long",(I465-H465)*J465*IF(G465="",1,G465),(H465-I465)*J465*IF(G465="",1,G465)))</f>
        <v/>
      </c>
      <c r="P465" s="13" t="str">
        <f aca="false">IF(O465="","",O465-IF(N465="",0,N465))</f>
        <v/>
      </c>
      <c r="Q465" s="14" t="str">
        <f aca="false">IFERROR(IF(P465="","",P465/K465),"")</f>
        <v/>
      </c>
      <c r="R465" s="6"/>
      <c r="S465" s="5"/>
      <c r="T465" s="15"/>
    </row>
    <row r="466" customFormat="false" ht="18" hidden="false" customHeight="true" outlineLevel="0" collapsed="false">
      <c r="A466" s="16" t="str">
        <f aca="false">IF(B466&lt;&gt;"",ROW()-2,"")</f>
        <v/>
      </c>
      <c r="B466" s="17"/>
      <c r="C466" s="17"/>
      <c r="D466" s="18"/>
      <c r="E466" s="19"/>
      <c r="F466" s="18"/>
      <c r="G466" s="20"/>
      <c r="H466" s="21"/>
      <c r="I466" s="21"/>
      <c r="J466" s="22"/>
      <c r="K466" s="23" t="str">
        <f aca="false">IF(H466*J466=0,"",H466*J466)</f>
        <v/>
      </c>
      <c r="L466" s="24"/>
      <c r="M466" s="24"/>
      <c r="N466" s="23" t="str">
        <f aca="false">IF(L466+M466=0,"",L466+M466)</f>
        <v/>
      </c>
      <c r="O466" s="25" t="str">
        <f aca="false">IF(OR(H466="",I466="",J466=""),"",IF(F466="Long",(I466-H466)*J466*IF(G466="",1,G466),(H466-I466)*J466*IF(G466="",1,G466)))</f>
        <v/>
      </c>
      <c r="P466" s="26" t="str">
        <f aca="false">IF(O466="","",O466-IF(N466="",0,N466))</f>
        <v/>
      </c>
      <c r="Q466" s="27" t="str">
        <f aca="false">IFERROR(IF(P466="","",P466/K466),"")</f>
        <v/>
      </c>
      <c r="R466" s="19"/>
      <c r="S466" s="18"/>
      <c r="T466" s="28"/>
    </row>
    <row r="467" customFormat="false" ht="18" hidden="false" customHeight="true" outlineLevel="0" collapsed="false">
      <c r="A467" s="3" t="str">
        <f aca="false">IF(B467&lt;&gt;"",ROW()-2,"")</f>
        <v/>
      </c>
      <c r="B467" s="4"/>
      <c r="C467" s="4"/>
      <c r="D467" s="5"/>
      <c r="E467" s="6"/>
      <c r="F467" s="5"/>
      <c r="G467" s="7"/>
      <c r="H467" s="8"/>
      <c r="I467" s="8"/>
      <c r="J467" s="9"/>
      <c r="K467" s="10" t="str">
        <f aca="false">IF(H467*J467=0,"",H467*J467)</f>
        <v/>
      </c>
      <c r="L467" s="11"/>
      <c r="M467" s="11"/>
      <c r="N467" s="10" t="str">
        <f aca="false">IF(L467+M467=0,"",L467+M467)</f>
        <v/>
      </c>
      <c r="O467" s="12" t="str">
        <f aca="false">IF(OR(H467="",I467="",J467=""),"",IF(F467="Long",(I467-H467)*J467*IF(G467="",1,G467),(H467-I467)*J467*IF(G467="",1,G467)))</f>
        <v/>
      </c>
      <c r="P467" s="13" t="str">
        <f aca="false">IF(O467="","",O467-IF(N467="",0,N467))</f>
        <v/>
      </c>
      <c r="Q467" s="14" t="str">
        <f aca="false">IFERROR(IF(P467="","",P467/K467),"")</f>
        <v/>
      </c>
      <c r="R467" s="6"/>
      <c r="S467" s="5"/>
      <c r="T467" s="15"/>
    </row>
    <row r="468" customFormat="false" ht="18" hidden="false" customHeight="true" outlineLevel="0" collapsed="false">
      <c r="A468" s="16" t="str">
        <f aca="false">IF(B468&lt;&gt;"",ROW()-2,"")</f>
        <v/>
      </c>
      <c r="B468" s="17"/>
      <c r="C468" s="17"/>
      <c r="D468" s="18"/>
      <c r="E468" s="19"/>
      <c r="F468" s="18"/>
      <c r="G468" s="20"/>
      <c r="H468" s="21"/>
      <c r="I468" s="21"/>
      <c r="J468" s="22"/>
      <c r="K468" s="23" t="str">
        <f aca="false">IF(H468*J468=0,"",H468*J468)</f>
        <v/>
      </c>
      <c r="L468" s="24"/>
      <c r="M468" s="24"/>
      <c r="N468" s="23" t="str">
        <f aca="false">IF(L468+M468=0,"",L468+M468)</f>
        <v/>
      </c>
      <c r="O468" s="25" t="str">
        <f aca="false">IF(OR(H468="",I468="",J468=""),"",IF(F468="Long",(I468-H468)*J468*IF(G468="",1,G468),(H468-I468)*J468*IF(G468="",1,G468)))</f>
        <v/>
      </c>
      <c r="P468" s="26" t="str">
        <f aca="false">IF(O468="","",O468-IF(N468="",0,N468))</f>
        <v/>
      </c>
      <c r="Q468" s="27" t="str">
        <f aca="false">IFERROR(IF(P468="","",P468/K468),"")</f>
        <v/>
      </c>
      <c r="R468" s="19"/>
      <c r="S468" s="18"/>
      <c r="T468" s="28"/>
    </row>
    <row r="469" customFormat="false" ht="18" hidden="false" customHeight="true" outlineLevel="0" collapsed="false">
      <c r="A469" s="3" t="str">
        <f aca="false">IF(B469&lt;&gt;"",ROW()-2,"")</f>
        <v/>
      </c>
      <c r="B469" s="4"/>
      <c r="C469" s="4"/>
      <c r="D469" s="5"/>
      <c r="E469" s="6"/>
      <c r="F469" s="5"/>
      <c r="G469" s="7"/>
      <c r="H469" s="8"/>
      <c r="I469" s="8"/>
      <c r="J469" s="9"/>
      <c r="K469" s="10" t="str">
        <f aca="false">IF(H469*J469=0,"",H469*J469)</f>
        <v/>
      </c>
      <c r="L469" s="11"/>
      <c r="M469" s="11"/>
      <c r="N469" s="10" t="str">
        <f aca="false">IF(L469+M469=0,"",L469+M469)</f>
        <v/>
      </c>
      <c r="O469" s="12" t="str">
        <f aca="false">IF(OR(H469="",I469="",J469=""),"",IF(F469="Long",(I469-H469)*J469*IF(G469="",1,G469),(H469-I469)*J469*IF(G469="",1,G469)))</f>
        <v/>
      </c>
      <c r="P469" s="13" t="str">
        <f aca="false">IF(O469="","",O469-IF(N469="",0,N469))</f>
        <v/>
      </c>
      <c r="Q469" s="14" t="str">
        <f aca="false">IFERROR(IF(P469="","",P469/K469),"")</f>
        <v/>
      </c>
      <c r="R469" s="6"/>
      <c r="S469" s="5"/>
      <c r="T469" s="15"/>
    </row>
    <row r="470" customFormat="false" ht="18" hidden="false" customHeight="true" outlineLevel="0" collapsed="false">
      <c r="A470" s="16" t="str">
        <f aca="false">IF(B470&lt;&gt;"",ROW()-2,"")</f>
        <v/>
      </c>
      <c r="B470" s="17"/>
      <c r="C470" s="17"/>
      <c r="D470" s="18"/>
      <c r="E470" s="19"/>
      <c r="F470" s="18"/>
      <c r="G470" s="20"/>
      <c r="H470" s="21"/>
      <c r="I470" s="21"/>
      <c r="J470" s="22"/>
      <c r="K470" s="23" t="str">
        <f aca="false">IF(H470*J470=0,"",H470*J470)</f>
        <v/>
      </c>
      <c r="L470" s="24"/>
      <c r="M470" s="24"/>
      <c r="N470" s="23" t="str">
        <f aca="false">IF(L470+M470=0,"",L470+M470)</f>
        <v/>
      </c>
      <c r="O470" s="25" t="str">
        <f aca="false">IF(OR(H470="",I470="",J470=""),"",IF(F470="Long",(I470-H470)*J470*IF(G470="",1,G470),(H470-I470)*J470*IF(G470="",1,G470)))</f>
        <v/>
      </c>
      <c r="P470" s="26" t="str">
        <f aca="false">IF(O470="","",O470-IF(N470="",0,N470))</f>
        <v/>
      </c>
      <c r="Q470" s="27" t="str">
        <f aca="false">IFERROR(IF(P470="","",P470/K470),"")</f>
        <v/>
      </c>
      <c r="R470" s="19"/>
      <c r="S470" s="18"/>
      <c r="T470" s="28"/>
    </row>
    <row r="471" customFormat="false" ht="18" hidden="false" customHeight="true" outlineLevel="0" collapsed="false">
      <c r="A471" s="3" t="str">
        <f aca="false">IF(B471&lt;&gt;"",ROW()-2,"")</f>
        <v/>
      </c>
      <c r="B471" s="4"/>
      <c r="C471" s="4"/>
      <c r="D471" s="5"/>
      <c r="E471" s="6"/>
      <c r="F471" s="5"/>
      <c r="G471" s="7"/>
      <c r="H471" s="8"/>
      <c r="I471" s="8"/>
      <c r="J471" s="9"/>
      <c r="K471" s="10" t="str">
        <f aca="false">IF(H471*J471=0,"",H471*J471)</f>
        <v/>
      </c>
      <c r="L471" s="11"/>
      <c r="M471" s="11"/>
      <c r="N471" s="10" t="str">
        <f aca="false">IF(L471+M471=0,"",L471+M471)</f>
        <v/>
      </c>
      <c r="O471" s="12" t="str">
        <f aca="false">IF(OR(H471="",I471="",J471=""),"",IF(F471="Long",(I471-H471)*J471*IF(G471="",1,G471),(H471-I471)*J471*IF(G471="",1,G471)))</f>
        <v/>
      </c>
      <c r="P471" s="13" t="str">
        <f aca="false">IF(O471="","",O471-IF(N471="",0,N471))</f>
        <v/>
      </c>
      <c r="Q471" s="14" t="str">
        <f aca="false">IFERROR(IF(P471="","",P471/K471),"")</f>
        <v/>
      </c>
      <c r="R471" s="6"/>
      <c r="S471" s="5"/>
      <c r="T471" s="15"/>
    </row>
    <row r="472" customFormat="false" ht="18" hidden="false" customHeight="true" outlineLevel="0" collapsed="false">
      <c r="A472" s="16" t="str">
        <f aca="false">IF(B472&lt;&gt;"",ROW()-2,"")</f>
        <v/>
      </c>
      <c r="B472" s="17"/>
      <c r="C472" s="17"/>
      <c r="D472" s="18"/>
      <c r="E472" s="19"/>
      <c r="F472" s="18"/>
      <c r="G472" s="20"/>
      <c r="H472" s="21"/>
      <c r="I472" s="21"/>
      <c r="J472" s="22"/>
      <c r="K472" s="23" t="str">
        <f aca="false">IF(H472*J472=0,"",H472*J472)</f>
        <v/>
      </c>
      <c r="L472" s="24"/>
      <c r="M472" s="24"/>
      <c r="N472" s="23" t="str">
        <f aca="false">IF(L472+M472=0,"",L472+M472)</f>
        <v/>
      </c>
      <c r="O472" s="25" t="str">
        <f aca="false">IF(OR(H472="",I472="",J472=""),"",IF(F472="Long",(I472-H472)*J472*IF(G472="",1,G472),(H472-I472)*J472*IF(G472="",1,G472)))</f>
        <v/>
      </c>
      <c r="P472" s="26" t="str">
        <f aca="false">IF(O472="","",O472-IF(N472="",0,N472))</f>
        <v/>
      </c>
      <c r="Q472" s="27" t="str">
        <f aca="false">IFERROR(IF(P472="","",P472/K472),"")</f>
        <v/>
      </c>
      <c r="R472" s="19"/>
      <c r="S472" s="18"/>
      <c r="T472" s="28"/>
    </row>
    <row r="473" customFormat="false" ht="18" hidden="false" customHeight="true" outlineLevel="0" collapsed="false">
      <c r="A473" s="3" t="str">
        <f aca="false">IF(B473&lt;&gt;"",ROW()-2,"")</f>
        <v/>
      </c>
      <c r="B473" s="4"/>
      <c r="C473" s="4"/>
      <c r="D473" s="5"/>
      <c r="E473" s="6"/>
      <c r="F473" s="5"/>
      <c r="G473" s="7"/>
      <c r="H473" s="8"/>
      <c r="I473" s="8"/>
      <c r="J473" s="9"/>
      <c r="K473" s="10" t="str">
        <f aca="false">IF(H473*J473=0,"",H473*J473)</f>
        <v/>
      </c>
      <c r="L473" s="11"/>
      <c r="M473" s="11"/>
      <c r="N473" s="10" t="str">
        <f aca="false">IF(L473+M473=0,"",L473+M473)</f>
        <v/>
      </c>
      <c r="O473" s="12" t="str">
        <f aca="false">IF(OR(H473="",I473="",J473=""),"",IF(F473="Long",(I473-H473)*J473*IF(G473="",1,G473),(H473-I473)*J473*IF(G473="",1,G473)))</f>
        <v/>
      </c>
      <c r="P473" s="13" t="str">
        <f aca="false">IF(O473="","",O473-IF(N473="",0,N473))</f>
        <v/>
      </c>
      <c r="Q473" s="14" t="str">
        <f aca="false">IFERROR(IF(P473="","",P473/K473),"")</f>
        <v/>
      </c>
      <c r="R473" s="6"/>
      <c r="S473" s="5"/>
      <c r="T473" s="15"/>
    </row>
    <row r="474" customFormat="false" ht="18" hidden="false" customHeight="true" outlineLevel="0" collapsed="false">
      <c r="A474" s="16" t="str">
        <f aca="false">IF(B474&lt;&gt;"",ROW()-2,"")</f>
        <v/>
      </c>
      <c r="B474" s="17"/>
      <c r="C474" s="17"/>
      <c r="D474" s="18"/>
      <c r="E474" s="19"/>
      <c r="F474" s="18"/>
      <c r="G474" s="20"/>
      <c r="H474" s="21"/>
      <c r="I474" s="21"/>
      <c r="J474" s="22"/>
      <c r="K474" s="23" t="str">
        <f aca="false">IF(H474*J474=0,"",H474*J474)</f>
        <v/>
      </c>
      <c r="L474" s="24"/>
      <c r="M474" s="24"/>
      <c r="N474" s="23" t="str">
        <f aca="false">IF(L474+M474=0,"",L474+M474)</f>
        <v/>
      </c>
      <c r="O474" s="25" t="str">
        <f aca="false">IF(OR(H474="",I474="",J474=""),"",IF(F474="Long",(I474-H474)*J474*IF(G474="",1,G474),(H474-I474)*J474*IF(G474="",1,G474)))</f>
        <v/>
      </c>
      <c r="P474" s="26" t="str">
        <f aca="false">IF(O474="","",O474-IF(N474="",0,N474))</f>
        <v/>
      </c>
      <c r="Q474" s="27" t="str">
        <f aca="false">IFERROR(IF(P474="","",P474/K474),"")</f>
        <v/>
      </c>
      <c r="R474" s="19"/>
      <c r="S474" s="18"/>
      <c r="T474" s="28"/>
    </row>
    <row r="475" customFormat="false" ht="18" hidden="false" customHeight="true" outlineLevel="0" collapsed="false">
      <c r="A475" s="3" t="str">
        <f aca="false">IF(B475&lt;&gt;"",ROW()-2,"")</f>
        <v/>
      </c>
      <c r="B475" s="4"/>
      <c r="C475" s="4"/>
      <c r="D475" s="5"/>
      <c r="E475" s="6"/>
      <c r="F475" s="5"/>
      <c r="G475" s="7"/>
      <c r="H475" s="8"/>
      <c r="I475" s="8"/>
      <c r="J475" s="9"/>
      <c r="K475" s="10" t="str">
        <f aca="false">IF(H475*J475=0,"",H475*J475)</f>
        <v/>
      </c>
      <c r="L475" s="11"/>
      <c r="M475" s="11"/>
      <c r="N475" s="10" t="str">
        <f aca="false">IF(L475+M475=0,"",L475+M475)</f>
        <v/>
      </c>
      <c r="O475" s="12" t="str">
        <f aca="false">IF(OR(H475="",I475="",J475=""),"",IF(F475="Long",(I475-H475)*J475*IF(G475="",1,G475),(H475-I475)*J475*IF(G475="",1,G475)))</f>
        <v/>
      </c>
      <c r="P475" s="13" t="str">
        <f aca="false">IF(O475="","",O475-IF(N475="",0,N475))</f>
        <v/>
      </c>
      <c r="Q475" s="14" t="str">
        <f aca="false">IFERROR(IF(P475="","",P475/K475),"")</f>
        <v/>
      </c>
      <c r="R475" s="6"/>
      <c r="S475" s="5"/>
      <c r="T475" s="15"/>
    </row>
    <row r="476" customFormat="false" ht="18" hidden="false" customHeight="true" outlineLevel="0" collapsed="false">
      <c r="A476" s="16" t="str">
        <f aca="false">IF(B476&lt;&gt;"",ROW()-2,"")</f>
        <v/>
      </c>
      <c r="B476" s="17"/>
      <c r="C476" s="17"/>
      <c r="D476" s="18"/>
      <c r="E476" s="19"/>
      <c r="F476" s="18"/>
      <c r="G476" s="20"/>
      <c r="H476" s="21"/>
      <c r="I476" s="21"/>
      <c r="J476" s="22"/>
      <c r="K476" s="23" t="str">
        <f aca="false">IF(H476*J476=0,"",H476*J476)</f>
        <v/>
      </c>
      <c r="L476" s="24"/>
      <c r="M476" s="24"/>
      <c r="N476" s="23" t="str">
        <f aca="false">IF(L476+M476=0,"",L476+M476)</f>
        <v/>
      </c>
      <c r="O476" s="25" t="str">
        <f aca="false">IF(OR(H476="",I476="",J476=""),"",IF(F476="Long",(I476-H476)*J476*IF(G476="",1,G476),(H476-I476)*J476*IF(G476="",1,G476)))</f>
        <v/>
      </c>
      <c r="P476" s="26" t="str">
        <f aca="false">IF(O476="","",O476-IF(N476="",0,N476))</f>
        <v/>
      </c>
      <c r="Q476" s="27" t="str">
        <f aca="false">IFERROR(IF(P476="","",P476/K476),"")</f>
        <v/>
      </c>
      <c r="R476" s="19"/>
      <c r="S476" s="18"/>
      <c r="T476" s="28"/>
    </row>
    <row r="477" customFormat="false" ht="18" hidden="false" customHeight="true" outlineLevel="0" collapsed="false">
      <c r="A477" s="3" t="str">
        <f aca="false">IF(B477&lt;&gt;"",ROW()-2,"")</f>
        <v/>
      </c>
      <c r="B477" s="4"/>
      <c r="C477" s="4"/>
      <c r="D477" s="5"/>
      <c r="E477" s="6"/>
      <c r="F477" s="5"/>
      <c r="G477" s="7"/>
      <c r="H477" s="8"/>
      <c r="I477" s="8"/>
      <c r="J477" s="9"/>
      <c r="K477" s="10" t="str">
        <f aca="false">IF(H477*J477=0,"",H477*J477)</f>
        <v/>
      </c>
      <c r="L477" s="11"/>
      <c r="M477" s="11"/>
      <c r="N477" s="10" t="str">
        <f aca="false">IF(L477+M477=0,"",L477+M477)</f>
        <v/>
      </c>
      <c r="O477" s="12" t="str">
        <f aca="false">IF(OR(H477="",I477="",J477=""),"",IF(F477="Long",(I477-H477)*J477*IF(G477="",1,G477),(H477-I477)*J477*IF(G477="",1,G477)))</f>
        <v/>
      </c>
      <c r="P477" s="13" t="str">
        <f aca="false">IF(O477="","",O477-IF(N477="",0,N477))</f>
        <v/>
      </c>
      <c r="Q477" s="14" t="str">
        <f aca="false">IFERROR(IF(P477="","",P477/K477),"")</f>
        <v/>
      </c>
      <c r="R477" s="6"/>
      <c r="S477" s="5"/>
      <c r="T477" s="15"/>
    </row>
    <row r="478" customFormat="false" ht="18" hidden="false" customHeight="true" outlineLevel="0" collapsed="false">
      <c r="A478" s="16" t="str">
        <f aca="false">IF(B478&lt;&gt;"",ROW()-2,"")</f>
        <v/>
      </c>
      <c r="B478" s="17"/>
      <c r="C478" s="17"/>
      <c r="D478" s="18"/>
      <c r="E478" s="19"/>
      <c r="F478" s="18"/>
      <c r="G478" s="20"/>
      <c r="H478" s="21"/>
      <c r="I478" s="21"/>
      <c r="J478" s="22"/>
      <c r="K478" s="23" t="str">
        <f aca="false">IF(H478*J478=0,"",H478*J478)</f>
        <v/>
      </c>
      <c r="L478" s="24"/>
      <c r="M478" s="24"/>
      <c r="N478" s="23" t="str">
        <f aca="false">IF(L478+M478=0,"",L478+M478)</f>
        <v/>
      </c>
      <c r="O478" s="25" t="str">
        <f aca="false">IF(OR(H478="",I478="",J478=""),"",IF(F478="Long",(I478-H478)*J478*IF(G478="",1,G478),(H478-I478)*J478*IF(G478="",1,G478)))</f>
        <v/>
      </c>
      <c r="P478" s="26" t="str">
        <f aca="false">IF(O478="","",O478-IF(N478="",0,N478))</f>
        <v/>
      </c>
      <c r="Q478" s="27" t="str">
        <f aca="false">IFERROR(IF(P478="","",P478/K478),"")</f>
        <v/>
      </c>
      <c r="R478" s="19"/>
      <c r="S478" s="18"/>
      <c r="T478" s="28"/>
    </row>
    <row r="479" customFormat="false" ht="18" hidden="false" customHeight="true" outlineLevel="0" collapsed="false">
      <c r="A479" s="3" t="str">
        <f aca="false">IF(B479&lt;&gt;"",ROW()-2,"")</f>
        <v/>
      </c>
      <c r="B479" s="4"/>
      <c r="C479" s="4"/>
      <c r="D479" s="5"/>
      <c r="E479" s="6"/>
      <c r="F479" s="5"/>
      <c r="G479" s="7"/>
      <c r="H479" s="8"/>
      <c r="I479" s="8"/>
      <c r="J479" s="9"/>
      <c r="K479" s="10" t="str">
        <f aca="false">IF(H479*J479=0,"",H479*J479)</f>
        <v/>
      </c>
      <c r="L479" s="11"/>
      <c r="M479" s="11"/>
      <c r="N479" s="10" t="str">
        <f aca="false">IF(L479+M479=0,"",L479+M479)</f>
        <v/>
      </c>
      <c r="O479" s="12" t="str">
        <f aca="false">IF(OR(H479="",I479="",J479=""),"",IF(F479="Long",(I479-H479)*J479*IF(G479="",1,G479),(H479-I479)*J479*IF(G479="",1,G479)))</f>
        <v/>
      </c>
      <c r="P479" s="13" t="str">
        <f aca="false">IF(O479="","",O479-IF(N479="",0,N479))</f>
        <v/>
      </c>
      <c r="Q479" s="14" t="str">
        <f aca="false">IFERROR(IF(P479="","",P479/K479),"")</f>
        <v/>
      </c>
      <c r="R479" s="6"/>
      <c r="S479" s="5"/>
      <c r="T479" s="15"/>
    </row>
    <row r="480" customFormat="false" ht="18" hidden="false" customHeight="true" outlineLevel="0" collapsed="false">
      <c r="A480" s="16" t="str">
        <f aca="false">IF(B480&lt;&gt;"",ROW()-2,"")</f>
        <v/>
      </c>
      <c r="B480" s="17"/>
      <c r="C480" s="17"/>
      <c r="D480" s="18"/>
      <c r="E480" s="19"/>
      <c r="F480" s="18"/>
      <c r="G480" s="20"/>
      <c r="H480" s="21"/>
      <c r="I480" s="21"/>
      <c r="J480" s="22"/>
      <c r="K480" s="23" t="str">
        <f aca="false">IF(H480*J480=0,"",H480*J480)</f>
        <v/>
      </c>
      <c r="L480" s="24"/>
      <c r="M480" s="24"/>
      <c r="N480" s="23" t="str">
        <f aca="false">IF(L480+M480=0,"",L480+M480)</f>
        <v/>
      </c>
      <c r="O480" s="25" t="str">
        <f aca="false">IF(OR(H480="",I480="",J480=""),"",IF(F480="Long",(I480-H480)*J480*IF(G480="",1,G480),(H480-I480)*J480*IF(G480="",1,G480)))</f>
        <v/>
      </c>
      <c r="P480" s="26" t="str">
        <f aca="false">IF(O480="","",O480-IF(N480="",0,N480))</f>
        <v/>
      </c>
      <c r="Q480" s="27" t="str">
        <f aca="false">IFERROR(IF(P480="","",P480/K480),"")</f>
        <v/>
      </c>
      <c r="R480" s="19"/>
      <c r="S480" s="18"/>
      <c r="T480" s="28"/>
    </row>
    <row r="481" customFormat="false" ht="18" hidden="false" customHeight="true" outlineLevel="0" collapsed="false">
      <c r="A481" s="3" t="str">
        <f aca="false">IF(B481&lt;&gt;"",ROW()-2,"")</f>
        <v/>
      </c>
      <c r="B481" s="4"/>
      <c r="C481" s="4"/>
      <c r="D481" s="5"/>
      <c r="E481" s="6"/>
      <c r="F481" s="5"/>
      <c r="G481" s="7"/>
      <c r="H481" s="8"/>
      <c r="I481" s="8"/>
      <c r="J481" s="9"/>
      <c r="K481" s="10" t="str">
        <f aca="false">IF(H481*J481=0,"",H481*J481)</f>
        <v/>
      </c>
      <c r="L481" s="11"/>
      <c r="M481" s="11"/>
      <c r="N481" s="10" t="str">
        <f aca="false">IF(L481+M481=0,"",L481+M481)</f>
        <v/>
      </c>
      <c r="O481" s="12" t="str">
        <f aca="false">IF(OR(H481="",I481="",J481=""),"",IF(F481="Long",(I481-H481)*J481*IF(G481="",1,G481),(H481-I481)*J481*IF(G481="",1,G481)))</f>
        <v/>
      </c>
      <c r="P481" s="13" t="str">
        <f aca="false">IF(O481="","",O481-IF(N481="",0,N481))</f>
        <v/>
      </c>
      <c r="Q481" s="14" t="str">
        <f aca="false">IFERROR(IF(P481="","",P481/K481),"")</f>
        <v/>
      </c>
      <c r="R481" s="6"/>
      <c r="S481" s="5"/>
      <c r="T481" s="15"/>
    </row>
    <row r="482" customFormat="false" ht="18" hidden="false" customHeight="true" outlineLevel="0" collapsed="false">
      <c r="A482" s="16" t="str">
        <f aca="false">IF(B482&lt;&gt;"",ROW()-2,"")</f>
        <v/>
      </c>
      <c r="B482" s="17"/>
      <c r="C482" s="17"/>
      <c r="D482" s="18"/>
      <c r="E482" s="19"/>
      <c r="F482" s="18"/>
      <c r="G482" s="20"/>
      <c r="H482" s="21"/>
      <c r="I482" s="21"/>
      <c r="J482" s="22"/>
      <c r="K482" s="23" t="str">
        <f aca="false">IF(H482*J482=0,"",H482*J482)</f>
        <v/>
      </c>
      <c r="L482" s="24"/>
      <c r="M482" s="24"/>
      <c r="N482" s="23" t="str">
        <f aca="false">IF(L482+M482=0,"",L482+M482)</f>
        <v/>
      </c>
      <c r="O482" s="25" t="str">
        <f aca="false">IF(OR(H482="",I482="",J482=""),"",IF(F482="Long",(I482-H482)*J482*IF(G482="",1,G482),(H482-I482)*J482*IF(G482="",1,G482)))</f>
        <v/>
      </c>
      <c r="P482" s="26" t="str">
        <f aca="false">IF(O482="","",O482-IF(N482="",0,N482))</f>
        <v/>
      </c>
      <c r="Q482" s="27" t="str">
        <f aca="false">IFERROR(IF(P482="","",P482/K482),"")</f>
        <v/>
      </c>
      <c r="R482" s="19"/>
      <c r="S482" s="18"/>
      <c r="T482" s="28"/>
    </row>
    <row r="483" customFormat="false" ht="18" hidden="false" customHeight="true" outlineLevel="0" collapsed="false">
      <c r="A483" s="3" t="str">
        <f aca="false">IF(B483&lt;&gt;"",ROW()-2,"")</f>
        <v/>
      </c>
      <c r="B483" s="4"/>
      <c r="C483" s="4"/>
      <c r="D483" s="5"/>
      <c r="E483" s="6"/>
      <c r="F483" s="5"/>
      <c r="G483" s="7"/>
      <c r="H483" s="8"/>
      <c r="I483" s="8"/>
      <c r="J483" s="9"/>
      <c r="K483" s="10" t="str">
        <f aca="false">IF(H483*J483=0,"",H483*J483)</f>
        <v/>
      </c>
      <c r="L483" s="11"/>
      <c r="M483" s="11"/>
      <c r="N483" s="10" t="str">
        <f aca="false">IF(L483+M483=0,"",L483+M483)</f>
        <v/>
      </c>
      <c r="O483" s="12" t="str">
        <f aca="false">IF(OR(H483="",I483="",J483=""),"",IF(F483="Long",(I483-H483)*J483*IF(G483="",1,G483),(H483-I483)*J483*IF(G483="",1,G483)))</f>
        <v/>
      </c>
      <c r="P483" s="13" t="str">
        <f aca="false">IF(O483="","",O483-IF(N483="",0,N483))</f>
        <v/>
      </c>
      <c r="Q483" s="14" t="str">
        <f aca="false">IFERROR(IF(P483="","",P483/K483),"")</f>
        <v/>
      </c>
      <c r="R483" s="6"/>
      <c r="S483" s="5"/>
      <c r="T483" s="15"/>
    </row>
    <row r="484" customFormat="false" ht="18" hidden="false" customHeight="true" outlineLevel="0" collapsed="false">
      <c r="A484" s="16" t="str">
        <f aca="false">IF(B484&lt;&gt;"",ROW()-2,"")</f>
        <v/>
      </c>
      <c r="B484" s="17"/>
      <c r="C484" s="17"/>
      <c r="D484" s="18"/>
      <c r="E484" s="19"/>
      <c r="F484" s="18"/>
      <c r="G484" s="20"/>
      <c r="H484" s="21"/>
      <c r="I484" s="21"/>
      <c r="J484" s="22"/>
      <c r="K484" s="23" t="str">
        <f aca="false">IF(H484*J484=0,"",H484*J484)</f>
        <v/>
      </c>
      <c r="L484" s="24"/>
      <c r="M484" s="24"/>
      <c r="N484" s="23" t="str">
        <f aca="false">IF(L484+M484=0,"",L484+M484)</f>
        <v/>
      </c>
      <c r="O484" s="25" t="str">
        <f aca="false">IF(OR(H484="",I484="",J484=""),"",IF(F484="Long",(I484-H484)*J484*IF(G484="",1,G484),(H484-I484)*J484*IF(G484="",1,G484)))</f>
        <v/>
      </c>
      <c r="P484" s="26" t="str">
        <f aca="false">IF(O484="","",O484-IF(N484="",0,N484))</f>
        <v/>
      </c>
      <c r="Q484" s="27" t="str">
        <f aca="false">IFERROR(IF(P484="","",P484/K484),"")</f>
        <v/>
      </c>
      <c r="R484" s="19"/>
      <c r="S484" s="18"/>
      <c r="T484" s="28"/>
    </row>
    <row r="485" customFormat="false" ht="18" hidden="false" customHeight="true" outlineLevel="0" collapsed="false">
      <c r="A485" s="3" t="str">
        <f aca="false">IF(B485&lt;&gt;"",ROW()-2,"")</f>
        <v/>
      </c>
      <c r="B485" s="4"/>
      <c r="C485" s="4"/>
      <c r="D485" s="5"/>
      <c r="E485" s="6"/>
      <c r="F485" s="5"/>
      <c r="G485" s="7"/>
      <c r="H485" s="8"/>
      <c r="I485" s="8"/>
      <c r="J485" s="9"/>
      <c r="K485" s="10" t="str">
        <f aca="false">IF(H485*J485=0,"",H485*J485)</f>
        <v/>
      </c>
      <c r="L485" s="11"/>
      <c r="M485" s="11"/>
      <c r="N485" s="10" t="str">
        <f aca="false">IF(L485+M485=0,"",L485+M485)</f>
        <v/>
      </c>
      <c r="O485" s="12" t="str">
        <f aca="false">IF(OR(H485="",I485="",J485=""),"",IF(F485="Long",(I485-H485)*J485*IF(G485="",1,G485),(H485-I485)*J485*IF(G485="",1,G485)))</f>
        <v/>
      </c>
      <c r="P485" s="13" t="str">
        <f aca="false">IF(O485="","",O485-IF(N485="",0,N485))</f>
        <v/>
      </c>
      <c r="Q485" s="14" t="str">
        <f aca="false">IFERROR(IF(P485="","",P485/K485),"")</f>
        <v/>
      </c>
      <c r="R485" s="6"/>
      <c r="S485" s="5"/>
      <c r="T485" s="15"/>
    </row>
    <row r="486" customFormat="false" ht="18" hidden="false" customHeight="true" outlineLevel="0" collapsed="false">
      <c r="A486" s="16" t="str">
        <f aca="false">IF(B486&lt;&gt;"",ROW()-2,"")</f>
        <v/>
      </c>
      <c r="B486" s="17"/>
      <c r="C486" s="17"/>
      <c r="D486" s="18"/>
      <c r="E486" s="19"/>
      <c r="F486" s="18"/>
      <c r="G486" s="20"/>
      <c r="H486" s="21"/>
      <c r="I486" s="21"/>
      <c r="J486" s="22"/>
      <c r="K486" s="23" t="str">
        <f aca="false">IF(H486*J486=0,"",H486*J486)</f>
        <v/>
      </c>
      <c r="L486" s="24"/>
      <c r="M486" s="24"/>
      <c r="N486" s="23" t="str">
        <f aca="false">IF(L486+M486=0,"",L486+M486)</f>
        <v/>
      </c>
      <c r="O486" s="25" t="str">
        <f aca="false">IF(OR(H486="",I486="",J486=""),"",IF(F486="Long",(I486-H486)*J486*IF(G486="",1,G486),(H486-I486)*J486*IF(G486="",1,G486)))</f>
        <v/>
      </c>
      <c r="P486" s="26" t="str">
        <f aca="false">IF(O486="","",O486-IF(N486="",0,N486))</f>
        <v/>
      </c>
      <c r="Q486" s="27" t="str">
        <f aca="false">IFERROR(IF(P486="","",P486/K486),"")</f>
        <v/>
      </c>
      <c r="R486" s="19"/>
      <c r="S486" s="18"/>
      <c r="T486" s="28"/>
    </row>
    <row r="487" customFormat="false" ht="18" hidden="false" customHeight="true" outlineLevel="0" collapsed="false">
      <c r="A487" s="3" t="str">
        <f aca="false">IF(B487&lt;&gt;"",ROW()-2,"")</f>
        <v/>
      </c>
      <c r="B487" s="4"/>
      <c r="C487" s="4"/>
      <c r="D487" s="5"/>
      <c r="E487" s="6"/>
      <c r="F487" s="5"/>
      <c r="G487" s="7"/>
      <c r="H487" s="8"/>
      <c r="I487" s="8"/>
      <c r="J487" s="9"/>
      <c r="K487" s="10" t="str">
        <f aca="false">IF(H487*J487=0,"",H487*J487)</f>
        <v/>
      </c>
      <c r="L487" s="11"/>
      <c r="M487" s="11"/>
      <c r="N487" s="10" t="str">
        <f aca="false">IF(L487+M487=0,"",L487+M487)</f>
        <v/>
      </c>
      <c r="O487" s="12" t="str">
        <f aca="false">IF(OR(H487="",I487="",J487=""),"",IF(F487="Long",(I487-H487)*J487*IF(G487="",1,G487),(H487-I487)*J487*IF(G487="",1,G487)))</f>
        <v/>
      </c>
      <c r="P487" s="13" t="str">
        <f aca="false">IF(O487="","",O487-IF(N487="",0,N487))</f>
        <v/>
      </c>
      <c r="Q487" s="14" t="str">
        <f aca="false">IFERROR(IF(P487="","",P487/K487),"")</f>
        <v/>
      </c>
      <c r="R487" s="6"/>
      <c r="S487" s="5"/>
      <c r="T487" s="15"/>
    </row>
    <row r="488" customFormat="false" ht="18" hidden="false" customHeight="true" outlineLevel="0" collapsed="false">
      <c r="A488" s="16" t="str">
        <f aca="false">IF(B488&lt;&gt;"",ROW()-2,"")</f>
        <v/>
      </c>
      <c r="B488" s="17"/>
      <c r="C488" s="17"/>
      <c r="D488" s="18"/>
      <c r="E488" s="19"/>
      <c r="F488" s="18"/>
      <c r="G488" s="20"/>
      <c r="H488" s="21"/>
      <c r="I488" s="21"/>
      <c r="J488" s="22"/>
      <c r="K488" s="23" t="str">
        <f aca="false">IF(H488*J488=0,"",H488*J488)</f>
        <v/>
      </c>
      <c r="L488" s="24"/>
      <c r="M488" s="24"/>
      <c r="N488" s="23" t="str">
        <f aca="false">IF(L488+M488=0,"",L488+M488)</f>
        <v/>
      </c>
      <c r="O488" s="25" t="str">
        <f aca="false">IF(OR(H488="",I488="",J488=""),"",IF(F488="Long",(I488-H488)*J488*IF(G488="",1,G488),(H488-I488)*J488*IF(G488="",1,G488)))</f>
        <v/>
      </c>
      <c r="P488" s="26" t="str">
        <f aca="false">IF(O488="","",O488-IF(N488="",0,N488))</f>
        <v/>
      </c>
      <c r="Q488" s="27" t="str">
        <f aca="false">IFERROR(IF(P488="","",P488/K488),"")</f>
        <v/>
      </c>
      <c r="R488" s="19"/>
      <c r="S488" s="18"/>
      <c r="T488" s="28"/>
    </row>
    <row r="489" customFormat="false" ht="18" hidden="false" customHeight="true" outlineLevel="0" collapsed="false">
      <c r="A489" s="3" t="str">
        <f aca="false">IF(B489&lt;&gt;"",ROW()-2,"")</f>
        <v/>
      </c>
      <c r="B489" s="4"/>
      <c r="C489" s="4"/>
      <c r="D489" s="5"/>
      <c r="E489" s="6"/>
      <c r="F489" s="5"/>
      <c r="G489" s="7"/>
      <c r="H489" s="8"/>
      <c r="I489" s="8"/>
      <c r="J489" s="9"/>
      <c r="K489" s="10" t="str">
        <f aca="false">IF(H489*J489=0,"",H489*J489)</f>
        <v/>
      </c>
      <c r="L489" s="11"/>
      <c r="M489" s="11"/>
      <c r="N489" s="10" t="str">
        <f aca="false">IF(L489+M489=0,"",L489+M489)</f>
        <v/>
      </c>
      <c r="O489" s="12" t="str">
        <f aca="false">IF(OR(H489="",I489="",J489=""),"",IF(F489="Long",(I489-H489)*J489*IF(G489="",1,G489),(H489-I489)*J489*IF(G489="",1,G489)))</f>
        <v/>
      </c>
      <c r="P489" s="13" t="str">
        <f aca="false">IF(O489="","",O489-IF(N489="",0,N489))</f>
        <v/>
      </c>
      <c r="Q489" s="14" t="str">
        <f aca="false">IFERROR(IF(P489="","",P489/K489),"")</f>
        <v/>
      </c>
      <c r="R489" s="6"/>
      <c r="S489" s="5"/>
      <c r="T489" s="15"/>
    </row>
    <row r="490" customFormat="false" ht="18" hidden="false" customHeight="true" outlineLevel="0" collapsed="false">
      <c r="A490" s="16" t="str">
        <f aca="false">IF(B490&lt;&gt;"",ROW()-2,"")</f>
        <v/>
      </c>
      <c r="B490" s="17"/>
      <c r="C490" s="17"/>
      <c r="D490" s="18"/>
      <c r="E490" s="19"/>
      <c r="F490" s="18"/>
      <c r="G490" s="20"/>
      <c r="H490" s="21"/>
      <c r="I490" s="21"/>
      <c r="J490" s="22"/>
      <c r="K490" s="23" t="str">
        <f aca="false">IF(H490*J490=0,"",H490*J490)</f>
        <v/>
      </c>
      <c r="L490" s="24"/>
      <c r="M490" s="24"/>
      <c r="N490" s="23" t="str">
        <f aca="false">IF(L490+M490=0,"",L490+M490)</f>
        <v/>
      </c>
      <c r="O490" s="25" t="str">
        <f aca="false">IF(OR(H490="",I490="",J490=""),"",IF(F490="Long",(I490-H490)*J490*IF(G490="",1,G490),(H490-I490)*J490*IF(G490="",1,G490)))</f>
        <v/>
      </c>
      <c r="P490" s="26" t="str">
        <f aca="false">IF(O490="","",O490-IF(N490="",0,N490))</f>
        <v/>
      </c>
      <c r="Q490" s="27" t="str">
        <f aca="false">IFERROR(IF(P490="","",P490/K490),"")</f>
        <v/>
      </c>
      <c r="R490" s="19"/>
      <c r="S490" s="18"/>
      <c r="T490" s="28"/>
    </row>
    <row r="491" customFormat="false" ht="18" hidden="false" customHeight="true" outlineLevel="0" collapsed="false">
      <c r="A491" s="3" t="str">
        <f aca="false">IF(B491&lt;&gt;"",ROW()-2,"")</f>
        <v/>
      </c>
      <c r="B491" s="4"/>
      <c r="C491" s="4"/>
      <c r="D491" s="5"/>
      <c r="E491" s="6"/>
      <c r="F491" s="5"/>
      <c r="G491" s="7"/>
      <c r="H491" s="8"/>
      <c r="I491" s="8"/>
      <c r="J491" s="9"/>
      <c r="K491" s="10" t="str">
        <f aca="false">IF(H491*J491=0,"",H491*J491)</f>
        <v/>
      </c>
      <c r="L491" s="11"/>
      <c r="M491" s="11"/>
      <c r="N491" s="10" t="str">
        <f aca="false">IF(L491+M491=0,"",L491+M491)</f>
        <v/>
      </c>
      <c r="O491" s="12" t="str">
        <f aca="false">IF(OR(H491="",I491="",J491=""),"",IF(F491="Long",(I491-H491)*J491*IF(G491="",1,G491),(H491-I491)*J491*IF(G491="",1,G491)))</f>
        <v/>
      </c>
      <c r="P491" s="13" t="str">
        <f aca="false">IF(O491="","",O491-IF(N491="",0,N491))</f>
        <v/>
      </c>
      <c r="Q491" s="14" t="str">
        <f aca="false">IFERROR(IF(P491="","",P491/K491),"")</f>
        <v/>
      </c>
      <c r="R491" s="6"/>
      <c r="S491" s="5"/>
      <c r="T491" s="15"/>
    </row>
    <row r="492" customFormat="false" ht="18" hidden="false" customHeight="true" outlineLevel="0" collapsed="false">
      <c r="A492" s="16" t="str">
        <f aca="false">IF(B492&lt;&gt;"",ROW()-2,"")</f>
        <v/>
      </c>
      <c r="B492" s="17"/>
      <c r="C492" s="17"/>
      <c r="D492" s="18"/>
      <c r="E492" s="19"/>
      <c r="F492" s="18"/>
      <c r="G492" s="20"/>
      <c r="H492" s="21"/>
      <c r="I492" s="21"/>
      <c r="J492" s="22"/>
      <c r="K492" s="23" t="str">
        <f aca="false">IF(H492*J492=0,"",H492*J492)</f>
        <v/>
      </c>
      <c r="L492" s="24"/>
      <c r="M492" s="24"/>
      <c r="N492" s="23" t="str">
        <f aca="false">IF(L492+M492=0,"",L492+M492)</f>
        <v/>
      </c>
      <c r="O492" s="25" t="str">
        <f aca="false">IF(OR(H492="",I492="",J492=""),"",IF(F492="Long",(I492-H492)*J492*IF(G492="",1,G492),(H492-I492)*J492*IF(G492="",1,G492)))</f>
        <v/>
      </c>
      <c r="P492" s="26" t="str">
        <f aca="false">IF(O492="","",O492-IF(N492="",0,N492))</f>
        <v/>
      </c>
      <c r="Q492" s="27" t="str">
        <f aca="false">IFERROR(IF(P492="","",P492/K492),"")</f>
        <v/>
      </c>
      <c r="R492" s="19"/>
      <c r="S492" s="18"/>
      <c r="T492" s="28"/>
    </row>
    <row r="493" customFormat="false" ht="18" hidden="false" customHeight="true" outlineLevel="0" collapsed="false">
      <c r="A493" s="3" t="str">
        <f aca="false">IF(B493&lt;&gt;"",ROW()-2,"")</f>
        <v/>
      </c>
      <c r="B493" s="4"/>
      <c r="C493" s="4"/>
      <c r="D493" s="5"/>
      <c r="E493" s="6"/>
      <c r="F493" s="5"/>
      <c r="G493" s="7"/>
      <c r="H493" s="8"/>
      <c r="I493" s="8"/>
      <c r="J493" s="9"/>
      <c r="K493" s="10" t="str">
        <f aca="false">IF(H493*J493=0,"",H493*J493)</f>
        <v/>
      </c>
      <c r="L493" s="11"/>
      <c r="M493" s="11"/>
      <c r="N493" s="10" t="str">
        <f aca="false">IF(L493+M493=0,"",L493+M493)</f>
        <v/>
      </c>
      <c r="O493" s="12" t="str">
        <f aca="false">IF(OR(H493="",I493="",J493=""),"",IF(F493="Long",(I493-H493)*J493*IF(G493="",1,G493),(H493-I493)*J493*IF(G493="",1,G493)))</f>
        <v/>
      </c>
      <c r="P493" s="13" t="str">
        <f aca="false">IF(O493="","",O493-IF(N493="",0,N493))</f>
        <v/>
      </c>
      <c r="Q493" s="14" t="str">
        <f aca="false">IFERROR(IF(P493="","",P493/K493),"")</f>
        <v/>
      </c>
      <c r="R493" s="6"/>
      <c r="S493" s="5"/>
      <c r="T493" s="15"/>
    </row>
    <row r="494" customFormat="false" ht="18" hidden="false" customHeight="true" outlineLevel="0" collapsed="false">
      <c r="A494" s="16" t="str">
        <f aca="false">IF(B494&lt;&gt;"",ROW()-2,"")</f>
        <v/>
      </c>
      <c r="B494" s="17"/>
      <c r="C494" s="17"/>
      <c r="D494" s="18"/>
      <c r="E494" s="19"/>
      <c r="F494" s="18"/>
      <c r="G494" s="20"/>
      <c r="H494" s="21"/>
      <c r="I494" s="21"/>
      <c r="J494" s="22"/>
      <c r="K494" s="23" t="str">
        <f aca="false">IF(H494*J494=0,"",H494*J494)</f>
        <v/>
      </c>
      <c r="L494" s="24"/>
      <c r="M494" s="24"/>
      <c r="N494" s="23" t="str">
        <f aca="false">IF(L494+M494=0,"",L494+M494)</f>
        <v/>
      </c>
      <c r="O494" s="25" t="str">
        <f aca="false">IF(OR(H494="",I494="",J494=""),"",IF(F494="Long",(I494-H494)*J494*IF(G494="",1,G494),(H494-I494)*J494*IF(G494="",1,G494)))</f>
        <v/>
      </c>
      <c r="P494" s="26" t="str">
        <f aca="false">IF(O494="","",O494-IF(N494="",0,N494))</f>
        <v/>
      </c>
      <c r="Q494" s="27" t="str">
        <f aca="false">IFERROR(IF(P494="","",P494/K494),"")</f>
        <v/>
      </c>
      <c r="R494" s="19"/>
      <c r="S494" s="18"/>
      <c r="T494" s="28"/>
    </row>
    <row r="495" customFormat="false" ht="18" hidden="false" customHeight="true" outlineLevel="0" collapsed="false">
      <c r="A495" s="3" t="str">
        <f aca="false">IF(B495&lt;&gt;"",ROW()-2,"")</f>
        <v/>
      </c>
      <c r="B495" s="4"/>
      <c r="C495" s="4"/>
      <c r="D495" s="5"/>
      <c r="E495" s="6"/>
      <c r="F495" s="5"/>
      <c r="G495" s="7"/>
      <c r="H495" s="8"/>
      <c r="I495" s="8"/>
      <c r="J495" s="9"/>
      <c r="K495" s="10" t="str">
        <f aca="false">IF(H495*J495=0,"",H495*J495)</f>
        <v/>
      </c>
      <c r="L495" s="11"/>
      <c r="M495" s="11"/>
      <c r="N495" s="10" t="str">
        <f aca="false">IF(L495+M495=0,"",L495+M495)</f>
        <v/>
      </c>
      <c r="O495" s="12" t="str">
        <f aca="false">IF(OR(H495="",I495="",J495=""),"",IF(F495="Long",(I495-H495)*J495*IF(G495="",1,G495),(H495-I495)*J495*IF(G495="",1,G495)))</f>
        <v/>
      </c>
      <c r="P495" s="13" t="str">
        <f aca="false">IF(O495="","",O495-IF(N495="",0,N495))</f>
        <v/>
      </c>
      <c r="Q495" s="14" t="str">
        <f aca="false">IFERROR(IF(P495="","",P495/K495),"")</f>
        <v/>
      </c>
      <c r="R495" s="6"/>
      <c r="S495" s="5"/>
      <c r="T495" s="15"/>
    </row>
    <row r="496" customFormat="false" ht="18" hidden="false" customHeight="true" outlineLevel="0" collapsed="false">
      <c r="A496" s="16" t="str">
        <f aca="false">IF(B496&lt;&gt;"",ROW()-2,"")</f>
        <v/>
      </c>
      <c r="B496" s="17"/>
      <c r="C496" s="17"/>
      <c r="D496" s="18"/>
      <c r="E496" s="19"/>
      <c r="F496" s="18"/>
      <c r="G496" s="20"/>
      <c r="H496" s="21"/>
      <c r="I496" s="21"/>
      <c r="J496" s="22"/>
      <c r="K496" s="23" t="str">
        <f aca="false">IF(H496*J496=0,"",H496*J496)</f>
        <v/>
      </c>
      <c r="L496" s="24"/>
      <c r="M496" s="24"/>
      <c r="N496" s="23" t="str">
        <f aca="false">IF(L496+M496=0,"",L496+M496)</f>
        <v/>
      </c>
      <c r="O496" s="25" t="str">
        <f aca="false">IF(OR(H496="",I496="",J496=""),"",IF(F496="Long",(I496-H496)*J496*IF(G496="",1,G496),(H496-I496)*J496*IF(G496="",1,G496)))</f>
        <v/>
      </c>
      <c r="P496" s="26" t="str">
        <f aca="false">IF(O496="","",O496-IF(N496="",0,N496))</f>
        <v/>
      </c>
      <c r="Q496" s="27" t="str">
        <f aca="false">IFERROR(IF(P496="","",P496/K496),"")</f>
        <v/>
      </c>
      <c r="R496" s="19"/>
      <c r="S496" s="18"/>
      <c r="T496" s="28"/>
    </row>
    <row r="497" customFormat="false" ht="18" hidden="false" customHeight="true" outlineLevel="0" collapsed="false">
      <c r="A497" s="3" t="str">
        <f aca="false">IF(B497&lt;&gt;"",ROW()-2,"")</f>
        <v/>
      </c>
      <c r="B497" s="4"/>
      <c r="C497" s="4"/>
      <c r="D497" s="5"/>
      <c r="E497" s="6"/>
      <c r="F497" s="5"/>
      <c r="G497" s="7"/>
      <c r="H497" s="8"/>
      <c r="I497" s="8"/>
      <c r="J497" s="9"/>
      <c r="K497" s="10" t="str">
        <f aca="false">IF(H497*J497=0,"",H497*J497)</f>
        <v/>
      </c>
      <c r="L497" s="11"/>
      <c r="M497" s="11"/>
      <c r="N497" s="10" t="str">
        <f aca="false">IF(L497+M497=0,"",L497+M497)</f>
        <v/>
      </c>
      <c r="O497" s="12" t="str">
        <f aca="false">IF(OR(H497="",I497="",J497=""),"",IF(F497="Long",(I497-H497)*J497*IF(G497="",1,G497),(H497-I497)*J497*IF(G497="",1,G497)))</f>
        <v/>
      </c>
      <c r="P497" s="13" t="str">
        <f aca="false">IF(O497="","",O497-IF(N497="",0,N497))</f>
        <v/>
      </c>
      <c r="Q497" s="14" t="str">
        <f aca="false">IFERROR(IF(P497="","",P497/K497),"")</f>
        <v/>
      </c>
      <c r="R497" s="6"/>
      <c r="S497" s="5"/>
      <c r="T497" s="15"/>
    </row>
    <row r="498" customFormat="false" ht="18" hidden="false" customHeight="true" outlineLevel="0" collapsed="false">
      <c r="A498" s="16" t="str">
        <f aca="false">IF(B498&lt;&gt;"",ROW()-2,"")</f>
        <v/>
      </c>
      <c r="B498" s="17"/>
      <c r="C498" s="17"/>
      <c r="D498" s="18"/>
      <c r="E498" s="19"/>
      <c r="F498" s="18"/>
      <c r="G498" s="20"/>
      <c r="H498" s="21"/>
      <c r="I498" s="21"/>
      <c r="J498" s="22"/>
      <c r="K498" s="23" t="str">
        <f aca="false">IF(H498*J498=0,"",H498*J498)</f>
        <v/>
      </c>
      <c r="L498" s="24"/>
      <c r="M498" s="24"/>
      <c r="N498" s="23" t="str">
        <f aca="false">IF(L498+M498=0,"",L498+M498)</f>
        <v/>
      </c>
      <c r="O498" s="25" t="str">
        <f aca="false">IF(OR(H498="",I498="",J498=""),"",IF(F498="Long",(I498-H498)*J498*IF(G498="",1,G498),(H498-I498)*J498*IF(G498="",1,G498)))</f>
        <v/>
      </c>
      <c r="P498" s="26" t="str">
        <f aca="false">IF(O498="","",O498-IF(N498="",0,N498))</f>
        <v/>
      </c>
      <c r="Q498" s="27" t="str">
        <f aca="false">IFERROR(IF(P498="","",P498/K498),"")</f>
        <v/>
      </c>
      <c r="R498" s="19"/>
      <c r="S498" s="18"/>
      <c r="T498" s="28"/>
    </row>
    <row r="499" customFormat="false" ht="18" hidden="false" customHeight="true" outlineLevel="0" collapsed="false">
      <c r="A499" s="3" t="str">
        <f aca="false">IF(B499&lt;&gt;"",ROW()-2,"")</f>
        <v/>
      </c>
      <c r="B499" s="4"/>
      <c r="C499" s="4"/>
      <c r="D499" s="5"/>
      <c r="E499" s="6"/>
      <c r="F499" s="5"/>
      <c r="G499" s="7"/>
      <c r="H499" s="8"/>
      <c r="I499" s="8"/>
      <c r="J499" s="9"/>
      <c r="K499" s="10" t="str">
        <f aca="false">IF(H499*J499=0,"",H499*J499)</f>
        <v/>
      </c>
      <c r="L499" s="11"/>
      <c r="M499" s="11"/>
      <c r="N499" s="10" t="str">
        <f aca="false">IF(L499+M499=0,"",L499+M499)</f>
        <v/>
      </c>
      <c r="O499" s="12" t="str">
        <f aca="false">IF(OR(H499="",I499="",J499=""),"",IF(F499="Long",(I499-H499)*J499*IF(G499="",1,G499),(H499-I499)*J499*IF(G499="",1,G499)))</f>
        <v/>
      </c>
      <c r="P499" s="13" t="str">
        <f aca="false">IF(O499="","",O499-IF(N499="",0,N499))</f>
        <v/>
      </c>
      <c r="Q499" s="14" t="str">
        <f aca="false">IFERROR(IF(P499="","",P499/K499),"")</f>
        <v/>
      </c>
      <c r="R499" s="6"/>
      <c r="S499" s="5"/>
      <c r="T499" s="15"/>
    </row>
    <row r="500" customFormat="false" ht="18" hidden="false" customHeight="true" outlineLevel="0" collapsed="false">
      <c r="A500" s="16" t="str">
        <f aca="false">IF(B500&lt;&gt;"",ROW()-2,"")</f>
        <v/>
      </c>
      <c r="B500" s="17"/>
      <c r="C500" s="17"/>
      <c r="D500" s="18"/>
      <c r="E500" s="19"/>
      <c r="F500" s="18"/>
      <c r="G500" s="20"/>
      <c r="H500" s="21"/>
      <c r="I500" s="21"/>
      <c r="J500" s="22"/>
      <c r="K500" s="23" t="str">
        <f aca="false">IF(H500*J500=0,"",H500*J500)</f>
        <v/>
      </c>
      <c r="L500" s="24"/>
      <c r="M500" s="24"/>
      <c r="N500" s="23" t="str">
        <f aca="false">IF(L500+M500=0,"",L500+M500)</f>
        <v/>
      </c>
      <c r="O500" s="25" t="str">
        <f aca="false">IF(OR(H500="",I500="",J500=""),"",IF(F500="Long",(I500-H500)*J500*IF(G500="",1,G500),(H500-I500)*J500*IF(G500="",1,G500)))</f>
        <v/>
      </c>
      <c r="P500" s="26" t="str">
        <f aca="false">IF(O500="","",O500-IF(N500="",0,N500))</f>
        <v/>
      </c>
      <c r="Q500" s="27" t="str">
        <f aca="false">IFERROR(IF(P500="","",P500/K500),"")</f>
        <v/>
      </c>
      <c r="R500" s="19"/>
      <c r="S500" s="18"/>
      <c r="T500" s="28"/>
    </row>
    <row r="501" customFormat="false" ht="18" hidden="false" customHeight="true" outlineLevel="0" collapsed="false">
      <c r="A501" s="3" t="str">
        <f aca="false">IF(B501&lt;&gt;"",ROW()-2,"")</f>
        <v/>
      </c>
      <c r="B501" s="4"/>
      <c r="C501" s="4"/>
      <c r="D501" s="5"/>
      <c r="E501" s="6"/>
      <c r="F501" s="5"/>
      <c r="G501" s="7"/>
      <c r="H501" s="8"/>
      <c r="I501" s="8"/>
      <c r="J501" s="9"/>
      <c r="K501" s="10" t="str">
        <f aca="false">IF(H501*J501=0,"",H501*J501)</f>
        <v/>
      </c>
      <c r="L501" s="11"/>
      <c r="M501" s="11"/>
      <c r="N501" s="10" t="str">
        <f aca="false">IF(L501+M501=0,"",L501+M501)</f>
        <v/>
      </c>
      <c r="O501" s="12" t="str">
        <f aca="false">IF(OR(H501="",I501="",J501=""),"",IF(F501="Long",(I501-H501)*J501*IF(G501="",1,G501),(H501-I501)*J501*IF(G501="",1,G501)))</f>
        <v/>
      </c>
      <c r="P501" s="13" t="str">
        <f aca="false">IF(O501="","",O501-IF(N501="",0,N501))</f>
        <v/>
      </c>
      <c r="Q501" s="14" t="str">
        <f aca="false">IFERROR(IF(P501="","",P501/K501),"")</f>
        <v/>
      </c>
      <c r="R501" s="6"/>
      <c r="S501" s="5"/>
      <c r="T501" s="15"/>
    </row>
    <row r="502" customFormat="false" ht="18" hidden="false" customHeight="true" outlineLevel="0" collapsed="false">
      <c r="A502" s="16" t="str">
        <f aca="false">IF(B502&lt;&gt;"",ROW()-2,"")</f>
        <v/>
      </c>
      <c r="B502" s="17"/>
      <c r="C502" s="17"/>
      <c r="D502" s="18"/>
      <c r="E502" s="19"/>
      <c r="F502" s="18"/>
      <c r="G502" s="20"/>
      <c r="H502" s="21"/>
      <c r="I502" s="21"/>
      <c r="J502" s="22"/>
      <c r="K502" s="23" t="str">
        <f aca="false">IF(H502*J502=0,"",H502*J502)</f>
        <v/>
      </c>
      <c r="L502" s="24"/>
      <c r="M502" s="24"/>
      <c r="N502" s="23" t="str">
        <f aca="false">IF(L502+M502=0,"",L502+M502)</f>
        <v/>
      </c>
      <c r="O502" s="25" t="str">
        <f aca="false">IF(OR(H502="",I502="",J502=""),"",IF(F502="Long",(I502-H502)*J502*IF(G502="",1,G502),(H502-I502)*J502*IF(G502="",1,G502)))</f>
        <v/>
      </c>
      <c r="P502" s="26" t="str">
        <f aca="false">IF(O502="","",O502-IF(N502="",0,N502))</f>
        <v/>
      </c>
      <c r="Q502" s="27" t="str">
        <f aca="false">IFERROR(IF(P502="","",P502/K502),"")</f>
        <v/>
      </c>
      <c r="R502" s="19"/>
      <c r="S502" s="18"/>
      <c r="T502" s="28"/>
    </row>
    <row r="503" customFormat="false" ht="18" hidden="false" customHeight="true" outlineLevel="0" collapsed="false">
      <c r="A503" s="3" t="str">
        <f aca="false">IF(B503&lt;&gt;"",ROW()-2,"")</f>
        <v/>
      </c>
      <c r="B503" s="4"/>
      <c r="C503" s="4"/>
      <c r="D503" s="5"/>
      <c r="E503" s="6"/>
      <c r="F503" s="5"/>
      <c r="G503" s="7"/>
      <c r="H503" s="8"/>
      <c r="I503" s="8"/>
      <c r="J503" s="9"/>
      <c r="K503" s="10" t="str">
        <f aca="false">IF(H503*J503=0,"",H503*J503)</f>
        <v/>
      </c>
      <c r="L503" s="11"/>
      <c r="M503" s="11"/>
      <c r="N503" s="10" t="str">
        <f aca="false">IF(L503+M503=0,"",L503+M503)</f>
        <v/>
      </c>
      <c r="O503" s="12" t="str">
        <f aca="false">IF(OR(H503="",I503="",J503=""),"",IF(F503="Long",(I503-H503)*J503*IF(G503="",1,G503),(H503-I503)*J503*IF(G503="",1,G503)))</f>
        <v/>
      </c>
      <c r="P503" s="13" t="str">
        <f aca="false">IF(O503="","",O503-IF(N503="",0,N503))</f>
        <v/>
      </c>
      <c r="Q503" s="14" t="str">
        <f aca="false">IFERROR(IF(P503="","",P503/K503),"")</f>
        <v/>
      </c>
      <c r="R503" s="6"/>
      <c r="S503" s="5"/>
      <c r="T503" s="15"/>
    </row>
    <row r="504" customFormat="false" ht="18" hidden="false" customHeight="true" outlineLevel="0" collapsed="false">
      <c r="A504" s="16" t="str">
        <f aca="false">IF(B504&lt;&gt;"",ROW()-2,"")</f>
        <v/>
      </c>
      <c r="B504" s="17"/>
      <c r="C504" s="17"/>
      <c r="D504" s="18"/>
      <c r="E504" s="19"/>
      <c r="F504" s="18"/>
      <c r="G504" s="20"/>
      <c r="H504" s="21"/>
      <c r="I504" s="21"/>
      <c r="J504" s="22"/>
      <c r="K504" s="23" t="str">
        <f aca="false">IF(H504*J504=0,"",H504*J504)</f>
        <v/>
      </c>
      <c r="L504" s="24"/>
      <c r="M504" s="24"/>
      <c r="N504" s="23" t="str">
        <f aca="false">IF(L504+M504=0,"",L504+M504)</f>
        <v/>
      </c>
      <c r="O504" s="25" t="str">
        <f aca="false">IF(OR(H504="",I504="",J504=""),"",IF(F504="Long",(I504-H504)*J504*IF(G504="",1,G504),(H504-I504)*J504*IF(G504="",1,G504)))</f>
        <v/>
      </c>
      <c r="P504" s="26" t="str">
        <f aca="false">IF(O504="","",O504-IF(N504="",0,N504))</f>
        <v/>
      </c>
      <c r="Q504" s="27" t="str">
        <f aca="false">IFERROR(IF(P504="","",P504/K504),"")</f>
        <v/>
      </c>
      <c r="R504" s="19"/>
      <c r="S504" s="18"/>
      <c r="T504" s="28"/>
    </row>
    <row r="505" customFormat="false" ht="18" hidden="false" customHeight="true" outlineLevel="0" collapsed="false">
      <c r="A505" s="3" t="str">
        <f aca="false">IF(B505&lt;&gt;"",ROW()-2,"")</f>
        <v/>
      </c>
      <c r="B505" s="4"/>
      <c r="C505" s="4"/>
      <c r="D505" s="5"/>
      <c r="E505" s="6"/>
      <c r="F505" s="5"/>
      <c r="G505" s="7"/>
      <c r="H505" s="8"/>
      <c r="I505" s="8"/>
      <c r="J505" s="9"/>
      <c r="K505" s="10" t="str">
        <f aca="false">IF(H505*J505=0,"",H505*J505)</f>
        <v/>
      </c>
      <c r="L505" s="11"/>
      <c r="M505" s="11"/>
      <c r="N505" s="10" t="str">
        <f aca="false">IF(L505+M505=0,"",L505+M505)</f>
        <v/>
      </c>
      <c r="O505" s="12" t="str">
        <f aca="false">IF(OR(H505="",I505="",J505=""),"",IF(F505="Long",(I505-H505)*J505*IF(G505="",1,G505),(H505-I505)*J505*IF(G505="",1,G505)))</f>
        <v/>
      </c>
      <c r="P505" s="13" t="str">
        <f aca="false">IF(O505="","",O505-IF(N505="",0,N505))</f>
        <v/>
      </c>
      <c r="Q505" s="14" t="str">
        <f aca="false">IFERROR(IF(P505="","",P505/K505),"")</f>
        <v/>
      </c>
      <c r="R505" s="6"/>
      <c r="S505" s="5"/>
      <c r="T505" s="15"/>
    </row>
    <row r="506" customFormat="false" ht="18" hidden="false" customHeight="true" outlineLevel="0" collapsed="false">
      <c r="A506" s="16" t="str">
        <f aca="false">IF(B506&lt;&gt;"",ROW()-2,"")</f>
        <v/>
      </c>
      <c r="B506" s="17"/>
      <c r="C506" s="17"/>
      <c r="D506" s="18"/>
      <c r="E506" s="19"/>
      <c r="F506" s="18"/>
      <c r="G506" s="20"/>
      <c r="H506" s="21"/>
      <c r="I506" s="21"/>
      <c r="J506" s="22"/>
      <c r="K506" s="23" t="str">
        <f aca="false">IF(H506*J506=0,"",H506*J506)</f>
        <v/>
      </c>
      <c r="L506" s="24"/>
      <c r="M506" s="24"/>
      <c r="N506" s="23" t="str">
        <f aca="false">IF(L506+M506=0,"",L506+M506)</f>
        <v/>
      </c>
      <c r="O506" s="25" t="str">
        <f aca="false">IF(OR(H506="",I506="",J506=""),"",IF(F506="Long",(I506-H506)*J506*IF(G506="",1,G506),(H506-I506)*J506*IF(G506="",1,G506)))</f>
        <v/>
      </c>
      <c r="P506" s="26" t="str">
        <f aca="false">IF(O506="","",O506-IF(N506="",0,N506))</f>
        <v/>
      </c>
      <c r="Q506" s="27" t="str">
        <f aca="false">IFERROR(IF(P506="","",P506/K506),"")</f>
        <v/>
      </c>
      <c r="R506" s="19"/>
      <c r="S506" s="18"/>
      <c r="T506" s="28"/>
    </row>
    <row r="507" customFormat="false" ht="18" hidden="false" customHeight="true" outlineLevel="0" collapsed="false">
      <c r="A507" s="3" t="str">
        <f aca="false">IF(B507&lt;&gt;"",ROW()-2,"")</f>
        <v/>
      </c>
      <c r="B507" s="4"/>
      <c r="C507" s="4"/>
      <c r="D507" s="5"/>
      <c r="E507" s="6"/>
      <c r="F507" s="5"/>
      <c r="G507" s="7"/>
      <c r="H507" s="8"/>
      <c r="I507" s="8"/>
      <c r="J507" s="9"/>
      <c r="K507" s="10" t="str">
        <f aca="false">IF(H507*J507=0,"",H507*J507)</f>
        <v/>
      </c>
      <c r="L507" s="11"/>
      <c r="M507" s="11"/>
      <c r="N507" s="10" t="str">
        <f aca="false">IF(L507+M507=0,"",L507+M507)</f>
        <v/>
      </c>
      <c r="O507" s="12" t="str">
        <f aca="false">IF(OR(H507="",I507="",J507=""),"",IF(F507="Long",(I507-H507)*J507*IF(G507="",1,G507),(H507-I507)*J507*IF(G507="",1,G507)))</f>
        <v/>
      </c>
      <c r="P507" s="13" t="str">
        <f aca="false">IF(O507="","",O507-IF(N507="",0,N507))</f>
        <v/>
      </c>
      <c r="Q507" s="14" t="str">
        <f aca="false">IFERROR(IF(P507="","",P507/K507),"")</f>
        <v/>
      </c>
      <c r="R507" s="6"/>
      <c r="S507" s="5"/>
      <c r="T507" s="15"/>
    </row>
    <row r="508" customFormat="false" ht="18" hidden="false" customHeight="true" outlineLevel="0" collapsed="false">
      <c r="A508" s="16" t="str">
        <f aca="false">IF(B508&lt;&gt;"",ROW()-2,"")</f>
        <v/>
      </c>
      <c r="B508" s="17"/>
      <c r="C508" s="17"/>
      <c r="D508" s="18"/>
      <c r="E508" s="19"/>
      <c r="F508" s="18"/>
      <c r="G508" s="20"/>
      <c r="H508" s="21"/>
      <c r="I508" s="21"/>
      <c r="J508" s="22"/>
      <c r="K508" s="23" t="str">
        <f aca="false">IF(H508*J508=0,"",H508*J508)</f>
        <v/>
      </c>
      <c r="L508" s="24"/>
      <c r="M508" s="24"/>
      <c r="N508" s="23" t="str">
        <f aca="false">IF(L508+M508=0,"",L508+M508)</f>
        <v/>
      </c>
      <c r="O508" s="25" t="str">
        <f aca="false">IF(OR(H508="",I508="",J508=""),"",IF(F508="Long",(I508-H508)*J508*IF(G508="",1,G508),(H508-I508)*J508*IF(G508="",1,G508)))</f>
        <v/>
      </c>
      <c r="P508" s="26" t="str">
        <f aca="false">IF(O508="","",O508-IF(N508="",0,N508))</f>
        <v/>
      </c>
      <c r="Q508" s="27" t="str">
        <f aca="false">IFERROR(IF(P508="","",P508/K508),"")</f>
        <v/>
      </c>
      <c r="R508" s="19"/>
      <c r="S508" s="18"/>
      <c r="T508" s="28"/>
    </row>
    <row r="509" customFormat="false" ht="18" hidden="false" customHeight="true" outlineLevel="0" collapsed="false">
      <c r="A509" s="3" t="str">
        <f aca="false">IF(B509&lt;&gt;"",ROW()-2,"")</f>
        <v/>
      </c>
      <c r="B509" s="4"/>
      <c r="C509" s="4"/>
      <c r="D509" s="5"/>
      <c r="E509" s="6"/>
      <c r="F509" s="5"/>
      <c r="G509" s="7"/>
      <c r="H509" s="8"/>
      <c r="I509" s="8"/>
      <c r="J509" s="9"/>
      <c r="K509" s="10" t="str">
        <f aca="false">IF(H509*J509=0,"",H509*J509)</f>
        <v/>
      </c>
      <c r="L509" s="11"/>
      <c r="M509" s="11"/>
      <c r="N509" s="10" t="str">
        <f aca="false">IF(L509+M509=0,"",L509+M509)</f>
        <v/>
      </c>
      <c r="O509" s="12" t="str">
        <f aca="false">IF(OR(H509="",I509="",J509=""),"",IF(F509="Long",(I509-H509)*J509*IF(G509="",1,G509),(H509-I509)*J509*IF(G509="",1,G509)))</f>
        <v/>
      </c>
      <c r="P509" s="13" t="str">
        <f aca="false">IF(O509="","",O509-IF(N509="",0,N509))</f>
        <v/>
      </c>
      <c r="Q509" s="14" t="str">
        <f aca="false">IFERROR(IF(P509="","",P509/K509),"")</f>
        <v/>
      </c>
      <c r="R509" s="6"/>
      <c r="S509" s="5"/>
      <c r="T509" s="15"/>
    </row>
    <row r="510" customFormat="false" ht="18" hidden="false" customHeight="true" outlineLevel="0" collapsed="false">
      <c r="A510" s="16" t="str">
        <f aca="false">IF(B510&lt;&gt;"",ROW()-2,"")</f>
        <v/>
      </c>
      <c r="B510" s="17"/>
      <c r="C510" s="17"/>
      <c r="D510" s="18"/>
      <c r="E510" s="19"/>
      <c r="F510" s="18"/>
      <c r="G510" s="20"/>
      <c r="H510" s="21"/>
      <c r="I510" s="21"/>
      <c r="J510" s="22"/>
      <c r="K510" s="23" t="str">
        <f aca="false">IF(H510*J510=0,"",H510*J510)</f>
        <v/>
      </c>
      <c r="L510" s="24"/>
      <c r="M510" s="24"/>
      <c r="N510" s="23" t="str">
        <f aca="false">IF(L510+M510=0,"",L510+M510)</f>
        <v/>
      </c>
      <c r="O510" s="25" t="str">
        <f aca="false">IF(OR(H510="",I510="",J510=""),"",IF(F510="Long",(I510-H510)*J510*IF(G510="",1,G510),(H510-I510)*J510*IF(G510="",1,G510)))</f>
        <v/>
      </c>
      <c r="P510" s="26" t="str">
        <f aca="false">IF(O510="","",O510-IF(N510="",0,N510))</f>
        <v/>
      </c>
      <c r="Q510" s="27" t="str">
        <f aca="false">IFERROR(IF(P510="","",P510/K510),"")</f>
        <v/>
      </c>
      <c r="R510" s="19"/>
      <c r="S510" s="18"/>
      <c r="T510" s="28"/>
    </row>
    <row r="511" customFormat="false" ht="18" hidden="false" customHeight="true" outlineLevel="0" collapsed="false">
      <c r="A511" s="3" t="str">
        <f aca="false">IF(B511&lt;&gt;"",ROW()-2,"")</f>
        <v/>
      </c>
      <c r="B511" s="4"/>
      <c r="C511" s="4"/>
      <c r="D511" s="5"/>
      <c r="E511" s="6"/>
      <c r="F511" s="5"/>
      <c r="G511" s="7"/>
      <c r="H511" s="8"/>
      <c r="I511" s="8"/>
      <c r="J511" s="9"/>
      <c r="K511" s="10" t="str">
        <f aca="false">IF(H511*J511=0,"",H511*J511)</f>
        <v/>
      </c>
      <c r="L511" s="11"/>
      <c r="M511" s="11"/>
      <c r="N511" s="10" t="str">
        <f aca="false">IF(L511+M511=0,"",L511+M511)</f>
        <v/>
      </c>
      <c r="O511" s="12" t="str">
        <f aca="false">IF(OR(H511="",I511="",J511=""),"",IF(F511="Long",(I511-H511)*J511*IF(G511="",1,G511),(H511-I511)*J511*IF(G511="",1,G511)))</f>
        <v/>
      </c>
      <c r="P511" s="13" t="str">
        <f aca="false">IF(O511="","",O511-IF(N511="",0,N511))</f>
        <v/>
      </c>
      <c r="Q511" s="14" t="str">
        <f aca="false">IFERROR(IF(P511="","",P511/K511),"")</f>
        <v/>
      </c>
      <c r="R511" s="6"/>
      <c r="S511" s="5"/>
      <c r="T511" s="15"/>
    </row>
    <row r="512" customFormat="false" ht="18" hidden="false" customHeight="true" outlineLevel="0" collapsed="false">
      <c r="A512" s="16" t="str">
        <f aca="false">IF(B512&lt;&gt;"",ROW()-2,"")</f>
        <v/>
      </c>
      <c r="B512" s="17"/>
      <c r="C512" s="17"/>
      <c r="D512" s="18"/>
      <c r="E512" s="19"/>
      <c r="F512" s="18"/>
      <c r="G512" s="20"/>
      <c r="H512" s="21"/>
      <c r="I512" s="21"/>
      <c r="J512" s="22"/>
      <c r="K512" s="23" t="str">
        <f aca="false">IF(H512*J512=0,"",H512*J512)</f>
        <v/>
      </c>
      <c r="L512" s="24"/>
      <c r="M512" s="24"/>
      <c r="N512" s="23" t="str">
        <f aca="false">IF(L512+M512=0,"",L512+M512)</f>
        <v/>
      </c>
      <c r="O512" s="25" t="str">
        <f aca="false">IF(OR(H512="",I512="",J512=""),"",IF(F512="Long",(I512-H512)*J512*IF(G512="",1,G512),(H512-I512)*J512*IF(G512="",1,G512)))</f>
        <v/>
      </c>
      <c r="P512" s="26" t="str">
        <f aca="false">IF(O512="","",O512-IF(N512="",0,N512))</f>
        <v/>
      </c>
      <c r="Q512" s="27" t="str">
        <f aca="false">IFERROR(IF(P512="","",P512/K512),"")</f>
        <v/>
      </c>
      <c r="R512" s="19"/>
      <c r="S512" s="18"/>
      <c r="T512" s="28"/>
    </row>
    <row r="513" customFormat="false" ht="18" hidden="false" customHeight="true" outlineLevel="0" collapsed="false">
      <c r="A513" s="3" t="str">
        <f aca="false">IF(B513&lt;&gt;"",ROW()-2,"")</f>
        <v/>
      </c>
      <c r="B513" s="4"/>
      <c r="C513" s="4"/>
      <c r="D513" s="5"/>
      <c r="E513" s="6"/>
      <c r="F513" s="5"/>
      <c r="G513" s="7"/>
      <c r="H513" s="8"/>
      <c r="I513" s="8"/>
      <c r="J513" s="9"/>
      <c r="K513" s="10" t="str">
        <f aca="false">IF(H513*J513=0,"",H513*J513)</f>
        <v/>
      </c>
      <c r="L513" s="11"/>
      <c r="M513" s="11"/>
      <c r="N513" s="10" t="str">
        <f aca="false">IF(L513+M513=0,"",L513+M513)</f>
        <v/>
      </c>
      <c r="O513" s="12" t="str">
        <f aca="false">IF(OR(H513="",I513="",J513=""),"",IF(F513="Long",(I513-H513)*J513*IF(G513="",1,G513),(H513-I513)*J513*IF(G513="",1,G513)))</f>
        <v/>
      </c>
      <c r="P513" s="13" t="str">
        <f aca="false">IF(O513="","",O513-IF(N513="",0,N513))</f>
        <v/>
      </c>
      <c r="Q513" s="14" t="str">
        <f aca="false">IFERROR(IF(P513="","",P513/K513),"")</f>
        <v/>
      </c>
      <c r="R513" s="6"/>
      <c r="S513" s="5"/>
      <c r="T513" s="15"/>
    </row>
    <row r="514" customFormat="false" ht="18" hidden="false" customHeight="true" outlineLevel="0" collapsed="false">
      <c r="A514" s="16" t="str">
        <f aca="false">IF(B514&lt;&gt;"",ROW()-2,"")</f>
        <v/>
      </c>
      <c r="B514" s="17"/>
      <c r="C514" s="17"/>
      <c r="D514" s="18"/>
      <c r="E514" s="19"/>
      <c r="F514" s="18"/>
      <c r="G514" s="20"/>
      <c r="H514" s="21"/>
      <c r="I514" s="21"/>
      <c r="J514" s="22"/>
      <c r="K514" s="23" t="str">
        <f aca="false">IF(H514*J514=0,"",H514*J514)</f>
        <v/>
      </c>
      <c r="L514" s="24"/>
      <c r="M514" s="24"/>
      <c r="N514" s="23" t="str">
        <f aca="false">IF(L514+M514=0,"",L514+M514)</f>
        <v/>
      </c>
      <c r="O514" s="25" t="str">
        <f aca="false">IF(OR(H514="",I514="",J514=""),"",IF(F514="Long",(I514-H514)*J514*IF(G514="",1,G514),(H514-I514)*J514*IF(G514="",1,G514)))</f>
        <v/>
      </c>
      <c r="P514" s="26" t="str">
        <f aca="false">IF(O514="","",O514-IF(N514="",0,N514))</f>
        <v/>
      </c>
      <c r="Q514" s="27" t="str">
        <f aca="false">IFERROR(IF(P514="","",P514/K514),"")</f>
        <v/>
      </c>
      <c r="R514" s="19"/>
      <c r="S514" s="18"/>
      <c r="T514" s="28"/>
    </row>
    <row r="515" customFormat="false" ht="18" hidden="false" customHeight="true" outlineLevel="0" collapsed="false">
      <c r="A515" s="3" t="str">
        <f aca="false">IF(B515&lt;&gt;"",ROW()-2,"")</f>
        <v/>
      </c>
      <c r="B515" s="4"/>
      <c r="C515" s="4"/>
      <c r="D515" s="5"/>
      <c r="E515" s="6"/>
      <c r="F515" s="5"/>
      <c r="G515" s="7"/>
      <c r="H515" s="8"/>
      <c r="I515" s="8"/>
      <c r="J515" s="9"/>
      <c r="K515" s="10" t="str">
        <f aca="false">IF(H515*J515=0,"",H515*J515)</f>
        <v/>
      </c>
      <c r="L515" s="11"/>
      <c r="M515" s="11"/>
      <c r="N515" s="10" t="str">
        <f aca="false">IF(L515+M515=0,"",L515+M515)</f>
        <v/>
      </c>
      <c r="O515" s="12" t="str">
        <f aca="false">IF(OR(H515="",I515="",J515=""),"",IF(F515="Long",(I515-H515)*J515*IF(G515="",1,G515),(H515-I515)*J515*IF(G515="",1,G515)))</f>
        <v/>
      </c>
      <c r="P515" s="13" t="str">
        <f aca="false">IF(O515="","",O515-IF(N515="",0,N515))</f>
        <v/>
      </c>
      <c r="Q515" s="14" t="str">
        <f aca="false">IFERROR(IF(P515="","",P515/K515),"")</f>
        <v/>
      </c>
      <c r="R515" s="6"/>
      <c r="S515" s="5"/>
      <c r="T515" s="15"/>
    </row>
    <row r="516" customFormat="false" ht="18" hidden="false" customHeight="true" outlineLevel="0" collapsed="false">
      <c r="A516" s="16" t="str">
        <f aca="false">IF(B516&lt;&gt;"",ROW()-2,"")</f>
        <v/>
      </c>
      <c r="B516" s="17"/>
      <c r="C516" s="17"/>
      <c r="D516" s="18"/>
      <c r="E516" s="19"/>
      <c r="F516" s="18"/>
      <c r="G516" s="20"/>
      <c r="H516" s="21"/>
      <c r="I516" s="21"/>
      <c r="J516" s="22"/>
      <c r="K516" s="23" t="str">
        <f aca="false">IF(H516*J516=0,"",H516*J516)</f>
        <v/>
      </c>
      <c r="L516" s="24"/>
      <c r="M516" s="24"/>
      <c r="N516" s="23" t="str">
        <f aca="false">IF(L516+M516=0,"",L516+M516)</f>
        <v/>
      </c>
      <c r="O516" s="25" t="str">
        <f aca="false">IF(OR(H516="",I516="",J516=""),"",IF(F516="Long",(I516-H516)*J516*IF(G516="",1,G516),(H516-I516)*J516*IF(G516="",1,G516)))</f>
        <v/>
      </c>
      <c r="P516" s="26" t="str">
        <f aca="false">IF(O516="","",O516-IF(N516="",0,N516))</f>
        <v/>
      </c>
      <c r="Q516" s="27" t="str">
        <f aca="false">IFERROR(IF(P516="","",P516/K516),"")</f>
        <v/>
      </c>
      <c r="R516" s="19"/>
      <c r="S516" s="18"/>
      <c r="T516" s="28"/>
    </row>
    <row r="517" customFormat="false" ht="18" hidden="false" customHeight="true" outlineLevel="0" collapsed="false">
      <c r="A517" s="3" t="str">
        <f aca="false">IF(B517&lt;&gt;"",ROW()-2,"")</f>
        <v/>
      </c>
      <c r="B517" s="4"/>
      <c r="C517" s="4"/>
      <c r="D517" s="5"/>
      <c r="E517" s="6"/>
      <c r="F517" s="5"/>
      <c r="G517" s="7"/>
      <c r="H517" s="8"/>
      <c r="I517" s="8"/>
      <c r="J517" s="9"/>
      <c r="K517" s="10" t="str">
        <f aca="false">IF(H517*J517=0,"",H517*J517)</f>
        <v/>
      </c>
      <c r="L517" s="11"/>
      <c r="M517" s="11"/>
      <c r="N517" s="10" t="str">
        <f aca="false">IF(L517+M517=0,"",L517+M517)</f>
        <v/>
      </c>
      <c r="O517" s="12" t="str">
        <f aca="false">IF(OR(H517="",I517="",J517=""),"",IF(F517="Long",(I517-H517)*J517*IF(G517="",1,G517),(H517-I517)*J517*IF(G517="",1,G517)))</f>
        <v/>
      </c>
      <c r="P517" s="13" t="str">
        <f aca="false">IF(O517="","",O517-IF(N517="",0,N517))</f>
        <v/>
      </c>
      <c r="Q517" s="14" t="str">
        <f aca="false">IFERROR(IF(P517="","",P517/K517),"")</f>
        <v/>
      </c>
      <c r="R517" s="6"/>
      <c r="S517" s="5"/>
      <c r="T517" s="15"/>
    </row>
    <row r="518" customFormat="false" ht="18" hidden="false" customHeight="true" outlineLevel="0" collapsed="false">
      <c r="A518" s="16" t="str">
        <f aca="false">IF(B518&lt;&gt;"",ROW()-2,"")</f>
        <v/>
      </c>
      <c r="B518" s="17"/>
      <c r="C518" s="17"/>
      <c r="D518" s="18"/>
      <c r="E518" s="19"/>
      <c r="F518" s="18"/>
      <c r="G518" s="20"/>
      <c r="H518" s="21"/>
      <c r="I518" s="21"/>
      <c r="J518" s="22"/>
      <c r="K518" s="23" t="str">
        <f aca="false">IF(H518*J518=0,"",H518*J518)</f>
        <v/>
      </c>
      <c r="L518" s="24"/>
      <c r="M518" s="24"/>
      <c r="N518" s="23" t="str">
        <f aca="false">IF(L518+M518=0,"",L518+M518)</f>
        <v/>
      </c>
      <c r="O518" s="25" t="str">
        <f aca="false">IF(OR(H518="",I518="",J518=""),"",IF(F518="Long",(I518-H518)*J518*IF(G518="",1,G518),(H518-I518)*J518*IF(G518="",1,G518)))</f>
        <v/>
      </c>
      <c r="P518" s="26" t="str">
        <f aca="false">IF(O518="","",O518-IF(N518="",0,N518))</f>
        <v/>
      </c>
      <c r="Q518" s="27" t="str">
        <f aca="false">IFERROR(IF(P518="","",P518/K518),"")</f>
        <v/>
      </c>
      <c r="R518" s="19"/>
      <c r="S518" s="18"/>
      <c r="T518" s="28"/>
    </row>
    <row r="519" customFormat="false" ht="18" hidden="false" customHeight="true" outlineLevel="0" collapsed="false">
      <c r="A519" s="3" t="str">
        <f aca="false">IF(B519&lt;&gt;"",ROW()-2,"")</f>
        <v/>
      </c>
      <c r="B519" s="4"/>
      <c r="C519" s="4"/>
      <c r="D519" s="5"/>
      <c r="E519" s="6"/>
      <c r="F519" s="5"/>
      <c r="G519" s="7"/>
      <c r="H519" s="8"/>
      <c r="I519" s="8"/>
      <c r="J519" s="9"/>
      <c r="K519" s="10" t="str">
        <f aca="false">IF(H519*J519=0,"",H519*J519)</f>
        <v/>
      </c>
      <c r="L519" s="11"/>
      <c r="M519" s="11"/>
      <c r="N519" s="10" t="str">
        <f aca="false">IF(L519+M519=0,"",L519+M519)</f>
        <v/>
      </c>
      <c r="O519" s="12" t="str">
        <f aca="false">IF(OR(H519="",I519="",J519=""),"",IF(F519="Long",(I519-H519)*J519*IF(G519="",1,G519),(H519-I519)*J519*IF(G519="",1,G519)))</f>
        <v/>
      </c>
      <c r="P519" s="13" t="str">
        <f aca="false">IF(O519="","",O519-IF(N519="",0,N519))</f>
        <v/>
      </c>
      <c r="Q519" s="14" t="str">
        <f aca="false">IFERROR(IF(P519="","",P519/K519),"")</f>
        <v/>
      </c>
      <c r="R519" s="6"/>
      <c r="S519" s="5"/>
      <c r="T519" s="15"/>
    </row>
    <row r="520" customFormat="false" ht="18" hidden="false" customHeight="true" outlineLevel="0" collapsed="false">
      <c r="A520" s="16" t="str">
        <f aca="false">IF(B520&lt;&gt;"",ROW()-2,"")</f>
        <v/>
      </c>
      <c r="B520" s="17"/>
      <c r="C520" s="17"/>
      <c r="D520" s="18"/>
      <c r="E520" s="19"/>
      <c r="F520" s="18"/>
      <c r="G520" s="20"/>
      <c r="H520" s="21"/>
      <c r="I520" s="21"/>
      <c r="J520" s="22"/>
      <c r="K520" s="23" t="str">
        <f aca="false">IF(H520*J520=0,"",H520*J520)</f>
        <v/>
      </c>
      <c r="L520" s="24"/>
      <c r="M520" s="24"/>
      <c r="N520" s="23" t="str">
        <f aca="false">IF(L520+M520=0,"",L520+M520)</f>
        <v/>
      </c>
      <c r="O520" s="25" t="str">
        <f aca="false">IF(OR(H520="",I520="",J520=""),"",IF(F520="Long",(I520-H520)*J520*IF(G520="",1,G520),(H520-I520)*J520*IF(G520="",1,G520)))</f>
        <v/>
      </c>
      <c r="P520" s="26" t="str">
        <f aca="false">IF(O520="","",O520-IF(N520="",0,N520))</f>
        <v/>
      </c>
      <c r="Q520" s="27" t="str">
        <f aca="false">IFERROR(IF(P520="","",P520/K520),"")</f>
        <v/>
      </c>
      <c r="R520" s="19"/>
      <c r="S520" s="18"/>
      <c r="T520" s="28"/>
    </row>
    <row r="521" customFormat="false" ht="18" hidden="false" customHeight="true" outlineLevel="0" collapsed="false">
      <c r="A521" s="3" t="str">
        <f aca="false">IF(B521&lt;&gt;"",ROW()-2,"")</f>
        <v/>
      </c>
      <c r="B521" s="4"/>
      <c r="C521" s="4"/>
      <c r="D521" s="5"/>
      <c r="E521" s="6"/>
      <c r="F521" s="5"/>
      <c r="G521" s="7"/>
      <c r="H521" s="8"/>
      <c r="I521" s="8"/>
      <c r="J521" s="9"/>
      <c r="K521" s="10" t="str">
        <f aca="false">IF(H521*J521=0,"",H521*J521)</f>
        <v/>
      </c>
      <c r="L521" s="11"/>
      <c r="M521" s="11"/>
      <c r="N521" s="10" t="str">
        <f aca="false">IF(L521+M521=0,"",L521+M521)</f>
        <v/>
      </c>
      <c r="O521" s="12" t="str">
        <f aca="false">IF(OR(H521="",I521="",J521=""),"",IF(F521="Long",(I521-H521)*J521*IF(G521="",1,G521),(H521-I521)*J521*IF(G521="",1,G521)))</f>
        <v/>
      </c>
      <c r="P521" s="13" t="str">
        <f aca="false">IF(O521="","",O521-IF(N521="",0,N521))</f>
        <v/>
      </c>
      <c r="Q521" s="14" t="str">
        <f aca="false">IFERROR(IF(P521="","",P521/K521),"")</f>
        <v/>
      </c>
      <c r="R521" s="6"/>
      <c r="S521" s="5"/>
      <c r="T521" s="15"/>
    </row>
    <row r="522" customFormat="false" ht="18" hidden="false" customHeight="true" outlineLevel="0" collapsed="false">
      <c r="A522" s="16" t="str">
        <f aca="false">IF(B522&lt;&gt;"",ROW()-2,"")</f>
        <v/>
      </c>
      <c r="B522" s="17"/>
      <c r="C522" s="17"/>
      <c r="D522" s="18"/>
      <c r="E522" s="19"/>
      <c r="F522" s="18"/>
      <c r="G522" s="20"/>
      <c r="H522" s="21"/>
      <c r="I522" s="21"/>
      <c r="J522" s="22"/>
      <c r="K522" s="23" t="str">
        <f aca="false">IF(H522*J522=0,"",H522*J522)</f>
        <v/>
      </c>
      <c r="L522" s="24"/>
      <c r="M522" s="24"/>
      <c r="N522" s="23" t="str">
        <f aca="false">IF(L522+M522=0,"",L522+M522)</f>
        <v/>
      </c>
      <c r="O522" s="25" t="str">
        <f aca="false">IF(OR(H522="",I522="",J522=""),"",IF(F522="Long",(I522-H522)*J522*IF(G522="",1,G522),(H522-I522)*J522*IF(G522="",1,G522)))</f>
        <v/>
      </c>
      <c r="P522" s="26" t="str">
        <f aca="false">IF(O522="","",O522-IF(N522="",0,N522))</f>
        <v/>
      </c>
      <c r="Q522" s="27" t="str">
        <f aca="false">IFERROR(IF(P522="","",P522/K522),"")</f>
        <v/>
      </c>
      <c r="R522" s="19"/>
      <c r="S522" s="18"/>
      <c r="T522" s="28"/>
    </row>
    <row r="523" customFormat="false" ht="18" hidden="false" customHeight="true" outlineLevel="0" collapsed="false">
      <c r="A523" s="3" t="str">
        <f aca="false">IF(B523&lt;&gt;"",ROW()-2,"")</f>
        <v/>
      </c>
      <c r="B523" s="4"/>
      <c r="C523" s="4"/>
      <c r="D523" s="5"/>
      <c r="E523" s="6"/>
      <c r="F523" s="5"/>
      <c r="G523" s="7"/>
      <c r="H523" s="8"/>
      <c r="I523" s="8"/>
      <c r="J523" s="9"/>
      <c r="K523" s="10" t="str">
        <f aca="false">IF(H523*J523=0,"",H523*J523)</f>
        <v/>
      </c>
      <c r="L523" s="11"/>
      <c r="M523" s="11"/>
      <c r="N523" s="10" t="str">
        <f aca="false">IF(L523+M523=0,"",L523+M523)</f>
        <v/>
      </c>
      <c r="O523" s="12" t="str">
        <f aca="false">IF(OR(H523="",I523="",J523=""),"",IF(F523="Long",(I523-H523)*J523*IF(G523="",1,G523),(H523-I523)*J523*IF(G523="",1,G523)))</f>
        <v/>
      </c>
      <c r="P523" s="13" t="str">
        <f aca="false">IF(O523="","",O523-IF(N523="",0,N523))</f>
        <v/>
      </c>
      <c r="Q523" s="14" t="str">
        <f aca="false">IFERROR(IF(P523="","",P523/K523),"")</f>
        <v/>
      </c>
      <c r="R523" s="6"/>
      <c r="S523" s="5"/>
      <c r="T523" s="15"/>
    </row>
    <row r="524" customFormat="false" ht="18" hidden="false" customHeight="true" outlineLevel="0" collapsed="false">
      <c r="A524" s="16" t="str">
        <f aca="false">IF(B524&lt;&gt;"",ROW()-2,"")</f>
        <v/>
      </c>
      <c r="B524" s="17"/>
      <c r="C524" s="17"/>
      <c r="D524" s="18"/>
      <c r="E524" s="19"/>
      <c r="F524" s="18"/>
      <c r="G524" s="20"/>
      <c r="H524" s="21"/>
      <c r="I524" s="21"/>
      <c r="J524" s="22"/>
      <c r="K524" s="23" t="str">
        <f aca="false">IF(H524*J524=0,"",H524*J524)</f>
        <v/>
      </c>
      <c r="L524" s="24"/>
      <c r="M524" s="24"/>
      <c r="N524" s="23" t="str">
        <f aca="false">IF(L524+M524=0,"",L524+M524)</f>
        <v/>
      </c>
      <c r="O524" s="25" t="str">
        <f aca="false">IF(OR(H524="",I524="",J524=""),"",IF(F524="Long",(I524-H524)*J524*IF(G524="",1,G524),(H524-I524)*J524*IF(G524="",1,G524)))</f>
        <v/>
      </c>
      <c r="P524" s="26" t="str">
        <f aca="false">IF(O524="","",O524-IF(N524="",0,N524))</f>
        <v/>
      </c>
      <c r="Q524" s="27" t="str">
        <f aca="false">IFERROR(IF(P524="","",P524/K524),"")</f>
        <v/>
      </c>
      <c r="R524" s="19"/>
      <c r="S524" s="18"/>
      <c r="T524" s="28"/>
    </row>
    <row r="525" customFormat="false" ht="18" hidden="false" customHeight="true" outlineLevel="0" collapsed="false">
      <c r="A525" s="3" t="str">
        <f aca="false">IF(B525&lt;&gt;"",ROW()-2,"")</f>
        <v/>
      </c>
      <c r="B525" s="4"/>
      <c r="C525" s="4"/>
      <c r="D525" s="5"/>
      <c r="E525" s="6"/>
      <c r="F525" s="5"/>
      <c r="G525" s="7"/>
      <c r="H525" s="8"/>
      <c r="I525" s="8"/>
      <c r="J525" s="9"/>
      <c r="K525" s="10" t="str">
        <f aca="false">IF(H525*J525=0,"",H525*J525)</f>
        <v/>
      </c>
      <c r="L525" s="11"/>
      <c r="M525" s="11"/>
      <c r="N525" s="10" t="str">
        <f aca="false">IF(L525+M525=0,"",L525+M525)</f>
        <v/>
      </c>
      <c r="O525" s="12" t="str">
        <f aca="false">IF(OR(H525="",I525="",J525=""),"",IF(F525="Long",(I525-H525)*J525*IF(G525="",1,G525),(H525-I525)*J525*IF(G525="",1,G525)))</f>
        <v/>
      </c>
      <c r="P525" s="13" t="str">
        <f aca="false">IF(O525="","",O525-IF(N525="",0,N525))</f>
        <v/>
      </c>
      <c r="Q525" s="14" t="str">
        <f aca="false">IFERROR(IF(P525="","",P525/K525),"")</f>
        <v/>
      </c>
      <c r="R525" s="6"/>
      <c r="S525" s="5"/>
      <c r="T525" s="15"/>
    </row>
    <row r="526" customFormat="false" ht="18" hidden="false" customHeight="true" outlineLevel="0" collapsed="false">
      <c r="A526" s="16" t="str">
        <f aca="false">IF(B526&lt;&gt;"",ROW()-2,"")</f>
        <v/>
      </c>
      <c r="B526" s="17"/>
      <c r="C526" s="17"/>
      <c r="D526" s="18"/>
      <c r="E526" s="19"/>
      <c r="F526" s="18"/>
      <c r="G526" s="20"/>
      <c r="H526" s="21"/>
      <c r="I526" s="21"/>
      <c r="J526" s="22"/>
      <c r="K526" s="23" t="str">
        <f aca="false">IF(H526*J526=0,"",H526*J526)</f>
        <v/>
      </c>
      <c r="L526" s="24"/>
      <c r="M526" s="24"/>
      <c r="N526" s="23" t="str">
        <f aca="false">IF(L526+M526=0,"",L526+M526)</f>
        <v/>
      </c>
      <c r="O526" s="25" t="str">
        <f aca="false">IF(OR(H526="",I526="",J526=""),"",IF(F526="Long",(I526-H526)*J526*IF(G526="",1,G526),(H526-I526)*J526*IF(G526="",1,G526)))</f>
        <v/>
      </c>
      <c r="P526" s="26" t="str">
        <f aca="false">IF(O526="","",O526-IF(N526="",0,N526))</f>
        <v/>
      </c>
      <c r="Q526" s="27" t="str">
        <f aca="false">IFERROR(IF(P526="","",P526/K526),"")</f>
        <v/>
      </c>
      <c r="R526" s="19"/>
      <c r="S526" s="18"/>
      <c r="T526" s="28"/>
    </row>
    <row r="527" customFormat="false" ht="18" hidden="false" customHeight="true" outlineLevel="0" collapsed="false">
      <c r="A527" s="3" t="str">
        <f aca="false">IF(B527&lt;&gt;"",ROW()-2,"")</f>
        <v/>
      </c>
      <c r="B527" s="4"/>
      <c r="C527" s="4"/>
      <c r="D527" s="5"/>
      <c r="E527" s="6"/>
      <c r="F527" s="5"/>
      <c r="G527" s="7"/>
      <c r="H527" s="8"/>
      <c r="I527" s="8"/>
      <c r="J527" s="9"/>
      <c r="K527" s="10" t="str">
        <f aca="false">IF(H527*J527=0,"",H527*J527)</f>
        <v/>
      </c>
      <c r="L527" s="11"/>
      <c r="M527" s="11"/>
      <c r="N527" s="10" t="str">
        <f aca="false">IF(L527+M527=0,"",L527+M527)</f>
        <v/>
      </c>
      <c r="O527" s="12" t="str">
        <f aca="false">IF(OR(H527="",I527="",J527=""),"",IF(F527="Long",(I527-H527)*J527*IF(G527="",1,G527),(H527-I527)*J527*IF(G527="",1,G527)))</f>
        <v/>
      </c>
      <c r="P527" s="13" t="str">
        <f aca="false">IF(O527="","",O527-IF(N527="",0,N527))</f>
        <v/>
      </c>
      <c r="Q527" s="14" t="str">
        <f aca="false">IFERROR(IF(P527="","",P527/K527),"")</f>
        <v/>
      </c>
      <c r="R527" s="6"/>
      <c r="S527" s="5"/>
      <c r="T527" s="15"/>
    </row>
    <row r="528" customFormat="false" ht="18" hidden="false" customHeight="true" outlineLevel="0" collapsed="false">
      <c r="A528" s="16" t="str">
        <f aca="false">IF(B528&lt;&gt;"",ROW()-2,"")</f>
        <v/>
      </c>
      <c r="B528" s="17"/>
      <c r="C528" s="17"/>
      <c r="D528" s="18"/>
      <c r="E528" s="19"/>
      <c r="F528" s="18"/>
      <c r="G528" s="20"/>
      <c r="H528" s="21"/>
      <c r="I528" s="21"/>
      <c r="J528" s="22"/>
      <c r="K528" s="23" t="str">
        <f aca="false">IF(H528*J528=0,"",H528*J528)</f>
        <v/>
      </c>
      <c r="L528" s="24"/>
      <c r="M528" s="24"/>
      <c r="N528" s="23" t="str">
        <f aca="false">IF(L528+M528=0,"",L528+M528)</f>
        <v/>
      </c>
      <c r="O528" s="25" t="str">
        <f aca="false">IF(OR(H528="",I528="",J528=""),"",IF(F528="Long",(I528-H528)*J528*IF(G528="",1,G528),(H528-I528)*J528*IF(G528="",1,G528)))</f>
        <v/>
      </c>
      <c r="P528" s="26" t="str">
        <f aca="false">IF(O528="","",O528-IF(N528="",0,N528))</f>
        <v/>
      </c>
      <c r="Q528" s="27" t="str">
        <f aca="false">IFERROR(IF(P528="","",P528/K528),"")</f>
        <v/>
      </c>
      <c r="R528" s="19"/>
      <c r="S528" s="18"/>
      <c r="T528" s="28"/>
    </row>
    <row r="529" customFormat="false" ht="18" hidden="false" customHeight="true" outlineLevel="0" collapsed="false">
      <c r="A529" s="3" t="str">
        <f aca="false">IF(B529&lt;&gt;"",ROW()-2,"")</f>
        <v/>
      </c>
      <c r="B529" s="4"/>
      <c r="C529" s="4"/>
      <c r="D529" s="5"/>
      <c r="E529" s="6"/>
      <c r="F529" s="5"/>
      <c r="G529" s="7"/>
      <c r="H529" s="8"/>
      <c r="I529" s="8"/>
      <c r="J529" s="9"/>
      <c r="K529" s="10" t="str">
        <f aca="false">IF(H529*J529=0,"",H529*J529)</f>
        <v/>
      </c>
      <c r="L529" s="11"/>
      <c r="M529" s="11"/>
      <c r="N529" s="10" t="str">
        <f aca="false">IF(L529+M529=0,"",L529+M529)</f>
        <v/>
      </c>
      <c r="O529" s="12" t="str">
        <f aca="false">IF(OR(H529="",I529="",J529=""),"",IF(F529="Long",(I529-H529)*J529*IF(G529="",1,G529),(H529-I529)*J529*IF(G529="",1,G529)))</f>
        <v/>
      </c>
      <c r="P529" s="13" t="str">
        <f aca="false">IF(O529="","",O529-IF(N529="",0,N529))</f>
        <v/>
      </c>
      <c r="Q529" s="14" t="str">
        <f aca="false">IFERROR(IF(P529="","",P529/K529),"")</f>
        <v/>
      </c>
      <c r="R529" s="6"/>
      <c r="S529" s="5"/>
      <c r="T529" s="15"/>
    </row>
    <row r="530" customFormat="false" ht="18" hidden="false" customHeight="true" outlineLevel="0" collapsed="false">
      <c r="A530" s="16" t="str">
        <f aca="false">IF(B530&lt;&gt;"",ROW()-2,"")</f>
        <v/>
      </c>
      <c r="B530" s="17"/>
      <c r="C530" s="17"/>
      <c r="D530" s="18"/>
      <c r="E530" s="19"/>
      <c r="F530" s="18"/>
      <c r="G530" s="20"/>
      <c r="H530" s="21"/>
      <c r="I530" s="21"/>
      <c r="J530" s="22"/>
      <c r="K530" s="23" t="str">
        <f aca="false">IF(H530*J530=0,"",H530*J530)</f>
        <v/>
      </c>
      <c r="L530" s="24"/>
      <c r="M530" s="24"/>
      <c r="N530" s="23" t="str">
        <f aca="false">IF(L530+M530=0,"",L530+M530)</f>
        <v/>
      </c>
      <c r="O530" s="25" t="str">
        <f aca="false">IF(OR(H530="",I530="",J530=""),"",IF(F530="Long",(I530-H530)*J530*IF(G530="",1,G530),(H530-I530)*J530*IF(G530="",1,G530)))</f>
        <v/>
      </c>
      <c r="P530" s="26" t="str">
        <f aca="false">IF(O530="","",O530-IF(N530="",0,N530))</f>
        <v/>
      </c>
      <c r="Q530" s="27" t="str">
        <f aca="false">IFERROR(IF(P530="","",P530/K530),"")</f>
        <v/>
      </c>
      <c r="R530" s="19"/>
      <c r="S530" s="18"/>
      <c r="T530" s="28"/>
    </row>
    <row r="531" customFormat="false" ht="18" hidden="false" customHeight="true" outlineLevel="0" collapsed="false">
      <c r="A531" s="3" t="str">
        <f aca="false">IF(B531&lt;&gt;"",ROW()-2,"")</f>
        <v/>
      </c>
      <c r="B531" s="4"/>
      <c r="C531" s="4"/>
      <c r="D531" s="5"/>
      <c r="E531" s="6"/>
      <c r="F531" s="5"/>
      <c r="G531" s="7"/>
      <c r="H531" s="8"/>
      <c r="I531" s="8"/>
      <c r="J531" s="9"/>
      <c r="K531" s="10" t="str">
        <f aca="false">IF(H531*J531=0,"",H531*J531)</f>
        <v/>
      </c>
      <c r="L531" s="11"/>
      <c r="M531" s="11"/>
      <c r="N531" s="10" t="str">
        <f aca="false">IF(L531+M531=0,"",L531+M531)</f>
        <v/>
      </c>
      <c r="O531" s="12" t="str">
        <f aca="false">IF(OR(H531="",I531="",J531=""),"",IF(F531="Long",(I531-H531)*J531*IF(G531="",1,G531),(H531-I531)*J531*IF(G531="",1,G531)))</f>
        <v/>
      </c>
      <c r="P531" s="13" t="str">
        <f aca="false">IF(O531="","",O531-IF(N531="",0,N531))</f>
        <v/>
      </c>
      <c r="Q531" s="14" t="str">
        <f aca="false">IFERROR(IF(P531="","",P531/K531),"")</f>
        <v/>
      </c>
      <c r="R531" s="6"/>
      <c r="S531" s="5"/>
      <c r="T531" s="15"/>
    </row>
    <row r="532" customFormat="false" ht="18" hidden="false" customHeight="true" outlineLevel="0" collapsed="false">
      <c r="A532" s="16" t="str">
        <f aca="false">IF(B532&lt;&gt;"",ROW()-2,"")</f>
        <v/>
      </c>
      <c r="B532" s="17"/>
      <c r="C532" s="17"/>
      <c r="D532" s="18"/>
      <c r="E532" s="19"/>
      <c r="F532" s="18"/>
      <c r="G532" s="20"/>
      <c r="H532" s="21"/>
      <c r="I532" s="21"/>
      <c r="J532" s="22"/>
      <c r="K532" s="23" t="str">
        <f aca="false">IF(H532*J532=0,"",H532*J532)</f>
        <v/>
      </c>
      <c r="L532" s="24"/>
      <c r="M532" s="24"/>
      <c r="N532" s="23" t="str">
        <f aca="false">IF(L532+M532=0,"",L532+M532)</f>
        <v/>
      </c>
      <c r="O532" s="25" t="str">
        <f aca="false">IF(OR(H532="",I532="",J532=""),"",IF(F532="Long",(I532-H532)*J532*IF(G532="",1,G532),(H532-I532)*J532*IF(G532="",1,G532)))</f>
        <v/>
      </c>
      <c r="P532" s="26" t="str">
        <f aca="false">IF(O532="","",O532-IF(N532="",0,N532))</f>
        <v/>
      </c>
      <c r="Q532" s="27" t="str">
        <f aca="false">IFERROR(IF(P532="","",P532/K532),"")</f>
        <v/>
      </c>
      <c r="R532" s="19"/>
      <c r="S532" s="18"/>
      <c r="T532" s="28"/>
    </row>
    <row r="533" customFormat="false" ht="18" hidden="false" customHeight="true" outlineLevel="0" collapsed="false">
      <c r="A533" s="3" t="str">
        <f aca="false">IF(B533&lt;&gt;"",ROW()-2,"")</f>
        <v/>
      </c>
      <c r="B533" s="4"/>
      <c r="C533" s="4"/>
      <c r="D533" s="5"/>
      <c r="E533" s="6"/>
      <c r="F533" s="5"/>
      <c r="G533" s="7"/>
      <c r="H533" s="8"/>
      <c r="I533" s="8"/>
      <c r="J533" s="9"/>
      <c r="K533" s="10" t="str">
        <f aca="false">IF(H533*J533=0,"",H533*J533)</f>
        <v/>
      </c>
      <c r="L533" s="11"/>
      <c r="M533" s="11"/>
      <c r="N533" s="10" t="str">
        <f aca="false">IF(L533+M533=0,"",L533+M533)</f>
        <v/>
      </c>
      <c r="O533" s="12" t="str">
        <f aca="false">IF(OR(H533="",I533="",J533=""),"",IF(F533="Long",(I533-H533)*J533*IF(G533="",1,G533),(H533-I533)*J533*IF(G533="",1,G533)))</f>
        <v/>
      </c>
      <c r="P533" s="13" t="str">
        <f aca="false">IF(O533="","",O533-IF(N533="",0,N533))</f>
        <v/>
      </c>
      <c r="Q533" s="14" t="str">
        <f aca="false">IFERROR(IF(P533="","",P533/K533),"")</f>
        <v/>
      </c>
      <c r="R533" s="6"/>
      <c r="S533" s="5"/>
      <c r="T533" s="15"/>
    </row>
    <row r="534" customFormat="false" ht="18" hidden="false" customHeight="true" outlineLevel="0" collapsed="false">
      <c r="A534" s="16" t="str">
        <f aca="false">IF(B534&lt;&gt;"",ROW()-2,"")</f>
        <v/>
      </c>
      <c r="B534" s="17"/>
      <c r="C534" s="17"/>
      <c r="D534" s="18"/>
      <c r="E534" s="19"/>
      <c r="F534" s="18"/>
      <c r="G534" s="20"/>
      <c r="H534" s="21"/>
      <c r="I534" s="21"/>
      <c r="J534" s="22"/>
      <c r="K534" s="23" t="str">
        <f aca="false">IF(H534*J534=0,"",H534*J534)</f>
        <v/>
      </c>
      <c r="L534" s="24"/>
      <c r="M534" s="24"/>
      <c r="N534" s="23" t="str">
        <f aca="false">IF(L534+M534=0,"",L534+M534)</f>
        <v/>
      </c>
      <c r="O534" s="25" t="str">
        <f aca="false">IF(OR(H534="",I534="",J534=""),"",IF(F534="Long",(I534-H534)*J534*IF(G534="",1,G534),(H534-I534)*J534*IF(G534="",1,G534)))</f>
        <v/>
      </c>
      <c r="P534" s="26" t="str">
        <f aca="false">IF(O534="","",O534-IF(N534="",0,N534))</f>
        <v/>
      </c>
      <c r="Q534" s="27" t="str">
        <f aca="false">IFERROR(IF(P534="","",P534/K534),"")</f>
        <v/>
      </c>
      <c r="R534" s="19"/>
      <c r="S534" s="18"/>
      <c r="T534" s="28"/>
    </row>
    <row r="535" customFormat="false" ht="18" hidden="false" customHeight="true" outlineLevel="0" collapsed="false">
      <c r="A535" s="3" t="str">
        <f aca="false">IF(B535&lt;&gt;"",ROW()-2,"")</f>
        <v/>
      </c>
      <c r="B535" s="4"/>
      <c r="C535" s="4"/>
      <c r="D535" s="5"/>
      <c r="E535" s="6"/>
      <c r="F535" s="5"/>
      <c r="G535" s="7"/>
      <c r="H535" s="8"/>
      <c r="I535" s="8"/>
      <c r="J535" s="9"/>
      <c r="K535" s="10" t="str">
        <f aca="false">IF(H535*J535=0,"",H535*J535)</f>
        <v/>
      </c>
      <c r="L535" s="11"/>
      <c r="M535" s="11"/>
      <c r="N535" s="10" t="str">
        <f aca="false">IF(L535+M535=0,"",L535+M535)</f>
        <v/>
      </c>
      <c r="O535" s="12" t="str">
        <f aca="false">IF(OR(H535="",I535="",J535=""),"",IF(F535="Long",(I535-H535)*J535*IF(G535="",1,G535),(H535-I535)*J535*IF(G535="",1,G535)))</f>
        <v/>
      </c>
      <c r="P535" s="13" t="str">
        <f aca="false">IF(O535="","",O535-IF(N535="",0,N535))</f>
        <v/>
      </c>
      <c r="Q535" s="14" t="str">
        <f aca="false">IFERROR(IF(P535="","",P535/K535),"")</f>
        <v/>
      </c>
      <c r="R535" s="6"/>
      <c r="S535" s="5"/>
      <c r="T535" s="15"/>
    </row>
    <row r="536" customFormat="false" ht="18" hidden="false" customHeight="true" outlineLevel="0" collapsed="false">
      <c r="A536" s="16" t="str">
        <f aca="false">IF(B536&lt;&gt;"",ROW()-2,"")</f>
        <v/>
      </c>
      <c r="B536" s="17"/>
      <c r="C536" s="17"/>
      <c r="D536" s="18"/>
      <c r="E536" s="19"/>
      <c r="F536" s="18"/>
      <c r="G536" s="20"/>
      <c r="H536" s="21"/>
      <c r="I536" s="21"/>
      <c r="J536" s="22"/>
      <c r="K536" s="23" t="str">
        <f aca="false">IF(H536*J536=0,"",H536*J536)</f>
        <v/>
      </c>
      <c r="L536" s="24"/>
      <c r="M536" s="24"/>
      <c r="N536" s="23" t="str">
        <f aca="false">IF(L536+M536=0,"",L536+M536)</f>
        <v/>
      </c>
      <c r="O536" s="25" t="str">
        <f aca="false">IF(OR(H536="",I536="",J536=""),"",IF(F536="Long",(I536-H536)*J536*IF(G536="",1,G536),(H536-I536)*J536*IF(G536="",1,G536)))</f>
        <v/>
      </c>
      <c r="P536" s="26" t="str">
        <f aca="false">IF(O536="","",O536-IF(N536="",0,N536))</f>
        <v/>
      </c>
      <c r="Q536" s="27" t="str">
        <f aca="false">IFERROR(IF(P536="","",P536/K536),"")</f>
        <v/>
      </c>
      <c r="R536" s="19"/>
      <c r="S536" s="18"/>
      <c r="T536" s="28"/>
    </row>
    <row r="537" customFormat="false" ht="18" hidden="false" customHeight="true" outlineLevel="0" collapsed="false">
      <c r="A537" s="3" t="str">
        <f aca="false">IF(B537&lt;&gt;"",ROW()-2,"")</f>
        <v/>
      </c>
      <c r="B537" s="4"/>
      <c r="C537" s="4"/>
      <c r="D537" s="5"/>
      <c r="E537" s="6"/>
      <c r="F537" s="5"/>
      <c r="G537" s="7"/>
      <c r="H537" s="8"/>
      <c r="I537" s="8"/>
      <c r="J537" s="9"/>
      <c r="K537" s="10" t="str">
        <f aca="false">IF(H537*J537=0,"",H537*J537)</f>
        <v/>
      </c>
      <c r="L537" s="11"/>
      <c r="M537" s="11"/>
      <c r="N537" s="10" t="str">
        <f aca="false">IF(L537+M537=0,"",L537+M537)</f>
        <v/>
      </c>
      <c r="O537" s="12" t="str">
        <f aca="false">IF(OR(H537="",I537="",J537=""),"",IF(F537="Long",(I537-H537)*J537*IF(G537="",1,G537),(H537-I537)*J537*IF(G537="",1,G537)))</f>
        <v/>
      </c>
      <c r="P537" s="13" t="str">
        <f aca="false">IF(O537="","",O537-IF(N537="",0,N537))</f>
        <v/>
      </c>
      <c r="Q537" s="14" t="str">
        <f aca="false">IFERROR(IF(P537="","",P537/K537),"")</f>
        <v/>
      </c>
      <c r="R537" s="6"/>
      <c r="S537" s="5"/>
      <c r="T537" s="15"/>
    </row>
    <row r="538" customFormat="false" ht="18" hidden="false" customHeight="true" outlineLevel="0" collapsed="false">
      <c r="A538" s="16" t="str">
        <f aca="false">IF(B538&lt;&gt;"",ROW()-2,"")</f>
        <v/>
      </c>
      <c r="B538" s="17"/>
      <c r="C538" s="17"/>
      <c r="D538" s="18"/>
      <c r="E538" s="19"/>
      <c r="F538" s="18"/>
      <c r="G538" s="20"/>
      <c r="H538" s="21"/>
      <c r="I538" s="21"/>
      <c r="J538" s="22"/>
      <c r="K538" s="23" t="str">
        <f aca="false">IF(H538*J538=0,"",H538*J538)</f>
        <v/>
      </c>
      <c r="L538" s="24"/>
      <c r="M538" s="24"/>
      <c r="N538" s="23" t="str">
        <f aca="false">IF(L538+M538=0,"",L538+M538)</f>
        <v/>
      </c>
      <c r="O538" s="25" t="str">
        <f aca="false">IF(OR(H538="",I538="",J538=""),"",IF(F538="Long",(I538-H538)*J538*IF(G538="",1,G538),(H538-I538)*J538*IF(G538="",1,G538)))</f>
        <v/>
      </c>
      <c r="P538" s="26" t="str">
        <f aca="false">IF(O538="","",O538-IF(N538="",0,N538))</f>
        <v/>
      </c>
      <c r="Q538" s="27" t="str">
        <f aca="false">IFERROR(IF(P538="","",P538/K538),"")</f>
        <v/>
      </c>
      <c r="R538" s="19"/>
      <c r="S538" s="18"/>
      <c r="T538" s="28"/>
    </row>
    <row r="539" customFormat="false" ht="18" hidden="false" customHeight="true" outlineLevel="0" collapsed="false">
      <c r="A539" s="3" t="str">
        <f aca="false">IF(B539&lt;&gt;"",ROW()-2,"")</f>
        <v/>
      </c>
      <c r="B539" s="4"/>
      <c r="C539" s="4"/>
      <c r="D539" s="5"/>
      <c r="E539" s="6"/>
      <c r="F539" s="5"/>
      <c r="G539" s="7"/>
      <c r="H539" s="8"/>
      <c r="I539" s="8"/>
      <c r="J539" s="9"/>
      <c r="K539" s="10" t="str">
        <f aca="false">IF(H539*J539=0,"",H539*J539)</f>
        <v/>
      </c>
      <c r="L539" s="11"/>
      <c r="M539" s="11"/>
      <c r="N539" s="10" t="str">
        <f aca="false">IF(L539+M539=0,"",L539+M539)</f>
        <v/>
      </c>
      <c r="O539" s="12" t="str">
        <f aca="false">IF(OR(H539="",I539="",J539=""),"",IF(F539="Long",(I539-H539)*J539*IF(G539="",1,G539),(H539-I539)*J539*IF(G539="",1,G539)))</f>
        <v/>
      </c>
      <c r="P539" s="13" t="str">
        <f aca="false">IF(O539="","",O539-IF(N539="",0,N539))</f>
        <v/>
      </c>
      <c r="Q539" s="14" t="str">
        <f aca="false">IFERROR(IF(P539="","",P539/K539),"")</f>
        <v/>
      </c>
      <c r="R539" s="6"/>
      <c r="S539" s="5"/>
      <c r="T539" s="15"/>
    </row>
    <row r="540" customFormat="false" ht="18" hidden="false" customHeight="true" outlineLevel="0" collapsed="false">
      <c r="A540" s="16" t="str">
        <f aca="false">IF(B540&lt;&gt;"",ROW()-2,"")</f>
        <v/>
      </c>
      <c r="B540" s="17"/>
      <c r="C540" s="17"/>
      <c r="D540" s="18"/>
      <c r="E540" s="19"/>
      <c r="F540" s="18"/>
      <c r="G540" s="20"/>
      <c r="H540" s="21"/>
      <c r="I540" s="21"/>
      <c r="J540" s="22"/>
      <c r="K540" s="23" t="str">
        <f aca="false">IF(H540*J540=0,"",H540*J540)</f>
        <v/>
      </c>
      <c r="L540" s="24"/>
      <c r="M540" s="24"/>
      <c r="N540" s="23" t="str">
        <f aca="false">IF(L540+M540=0,"",L540+M540)</f>
        <v/>
      </c>
      <c r="O540" s="25" t="str">
        <f aca="false">IF(OR(H540="",I540="",J540=""),"",IF(F540="Long",(I540-H540)*J540*IF(G540="",1,G540),(H540-I540)*J540*IF(G540="",1,G540)))</f>
        <v/>
      </c>
      <c r="P540" s="26" t="str">
        <f aca="false">IF(O540="","",O540-IF(N540="",0,N540))</f>
        <v/>
      </c>
      <c r="Q540" s="27" t="str">
        <f aca="false">IFERROR(IF(P540="","",P540/K540),"")</f>
        <v/>
      </c>
      <c r="R540" s="19"/>
      <c r="S540" s="18"/>
      <c r="T540" s="28"/>
    </row>
    <row r="541" customFormat="false" ht="18" hidden="false" customHeight="true" outlineLevel="0" collapsed="false">
      <c r="A541" s="3" t="str">
        <f aca="false">IF(B541&lt;&gt;"",ROW()-2,"")</f>
        <v/>
      </c>
      <c r="B541" s="4"/>
      <c r="C541" s="4"/>
      <c r="D541" s="5"/>
      <c r="E541" s="6"/>
      <c r="F541" s="5"/>
      <c r="G541" s="7"/>
      <c r="H541" s="8"/>
      <c r="I541" s="8"/>
      <c r="J541" s="9"/>
      <c r="K541" s="10" t="str">
        <f aca="false">IF(H541*J541=0,"",H541*J541)</f>
        <v/>
      </c>
      <c r="L541" s="11"/>
      <c r="M541" s="11"/>
      <c r="N541" s="10" t="str">
        <f aca="false">IF(L541+M541=0,"",L541+M541)</f>
        <v/>
      </c>
      <c r="O541" s="12" t="str">
        <f aca="false">IF(OR(H541="",I541="",J541=""),"",IF(F541="Long",(I541-H541)*J541*IF(G541="",1,G541),(H541-I541)*J541*IF(G541="",1,G541)))</f>
        <v/>
      </c>
      <c r="P541" s="13" t="str">
        <f aca="false">IF(O541="","",O541-IF(N541="",0,N541))</f>
        <v/>
      </c>
      <c r="Q541" s="14" t="str">
        <f aca="false">IFERROR(IF(P541="","",P541/K541),"")</f>
        <v/>
      </c>
      <c r="R541" s="6"/>
      <c r="S541" s="5"/>
      <c r="T541" s="15"/>
    </row>
    <row r="542" customFormat="false" ht="18" hidden="false" customHeight="true" outlineLevel="0" collapsed="false">
      <c r="A542" s="16" t="str">
        <f aca="false">IF(B542&lt;&gt;"",ROW()-2,"")</f>
        <v/>
      </c>
      <c r="B542" s="17"/>
      <c r="C542" s="17"/>
      <c r="D542" s="18"/>
      <c r="E542" s="19"/>
      <c r="F542" s="18"/>
      <c r="G542" s="20"/>
      <c r="H542" s="21"/>
      <c r="I542" s="21"/>
      <c r="J542" s="22"/>
      <c r="K542" s="23" t="str">
        <f aca="false">IF(H542*J542=0,"",H542*J542)</f>
        <v/>
      </c>
      <c r="L542" s="24"/>
      <c r="M542" s="24"/>
      <c r="N542" s="23" t="str">
        <f aca="false">IF(L542+M542=0,"",L542+M542)</f>
        <v/>
      </c>
      <c r="O542" s="25" t="str">
        <f aca="false">IF(OR(H542="",I542="",J542=""),"",IF(F542="Long",(I542-H542)*J542*IF(G542="",1,G542),(H542-I542)*J542*IF(G542="",1,G542)))</f>
        <v/>
      </c>
      <c r="P542" s="26" t="str">
        <f aca="false">IF(O542="","",O542-IF(N542="",0,N542))</f>
        <v/>
      </c>
      <c r="Q542" s="27" t="str">
        <f aca="false">IFERROR(IF(P542="","",P542/K542),"")</f>
        <v/>
      </c>
      <c r="R542" s="19"/>
      <c r="S542" s="18"/>
      <c r="T542" s="28"/>
    </row>
    <row r="543" customFormat="false" ht="18" hidden="false" customHeight="true" outlineLevel="0" collapsed="false">
      <c r="A543" s="3" t="str">
        <f aca="false">IF(B543&lt;&gt;"",ROW()-2,"")</f>
        <v/>
      </c>
      <c r="B543" s="4"/>
      <c r="C543" s="4"/>
      <c r="D543" s="5"/>
      <c r="E543" s="6"/>
      <c r="F543" s="5"/>
      <c r="G543" s="7"/>
      <c r="H543" s="8"/>
      <c r="I543" s="8"/>
      <c r="J543" s="9"/>
      <c r="K543" s="10" t="str">
        <f aca="false">IF(H543*J543=0,"",H543*J543)</f>
        <v/>
      </c>
      <c r="L543" s="11"/>
      <c r="M543" s="11"/>
      <c r="N543" s="10" t="str">
        <f aca="false">IF(L543+M543=0,"",L543+M543)</f>
        <v/>
      </c>
      <c r="O543" s="12" t="str">
        <f aca="false">IF(OR(H543="",I543="",J543=""),"",IF(F543="Long",(I543-H543)*J543*IF(G543="",1,G543),(H543-I543)*J543*IF(G543="",1,G543)))</f>
        <v/>
      </c>
      <c r="P543" s="13" t="str">
        <f aca="false">IF(O543="","",O543-IF(N543="",0,N543))</f>
        <v/>
      </c>
      <c r="Q543" s="14" t="str">
        <f aca="false">IFERROR(IF(P543="","",P543/K543),"")</f>
        <v/>
      </c>
      <c r="R543" s="6"/>
      <c r="S543" s="5"/>
      <c r="T543" s="15"/>
    </row>
    <row r="544" customFormat="false" ht="18" hidden="false" customHeight="true" outlineLevel="0" collapsed="false">
      <c r="A544" s="16" t="str">
        <f aca="false">IF(B544&lt;&gt;"",ROW()-2,"")</f>
        <v/>
      </c>
      <c r="B544" s="17"/>
      <c r="C544" s="17"/>
      <c r="D544" s="18"/>
      <c r="E544" s="19"/>
      <c r="F544" s="18"/>
      <c r="G544" s="20"/>
      <c r="H544" s="21"/>
      <c r="I544" s="21"/>
      <c r="J544" s="22"/>
      <c r="K544" s="23" t="str">
        <f aca="false">IF(H544*J544=0,"",H544*J544)</f>
        <v/>
      </c>
      <c r="L544" s="24"/>
      <c r="M544" s="24"/>
      <c r="N544" s="23" t="str">
        <f aca="false">IF(L544+M544=0,"",L544+M544)</f>
        <v/>
      </c>
      <c r="O544" s="25" t="str">
        <f aca="false">IF(OR(H544="",I544="",J544=""),"",IF(F544="Long",(I544-H544)*J544*IF(G544="",1,G544),(H544-I544)*J544*IF(G544="",1,G544)))</f>
        <v/>
      </c>
      <c r="P544" s="26" t="str">
        <f aca="false">IF(O544="","",O544-IF(N544="",0,N544))</f>
        <v/>
      </c>
      <c r="Q544" s="27" t="str">
        <f aca="false">IFERROR(IF(P544="","",P544/K544),"")</f>
        <v/>
      </c>
      <c r="R544" s="19"/>
      <c r="S544" s="18"/>
      <c r="T544" s="28"/>
    </row>
    <row r="545" customFormat="false" ht="18" hidden="false" customHeight="true" outlineLevel="0" collapsed="false">
      <c r="A545" s="3" t="str">
        <f aca="false">IF(B545&lt;&gt;"",ROW()-2,"")</f>
        <v/>
      </c>
      <c r="B545" s="4"/>
      <c r="C545" s="4"/>
      <c r="D545" s="5"/>
      <c r="E545" s="6"/>
      <c r="F545" s="5"/>
      <c r="G545" s="7"/>
      <c r="H545" s="8"/>
      <c r="I545" s="8"/>
      <c r="J545" s="9"/>
      <c r="K545" s="10" t="str">
        <f aca="false">IF(H545*J545=0,"",H545*J545)</f>
        <v/>
      </c>
      <c r="L545" s="11"/>
      <c r="M545" s="11"/>
      <c r="N545" s="10" t="str">
        <f aca="false">IF(L545+M545=0,"",L545+M545)</f>
        <v/>
      </c>
      <c r="O545" s="12" t="str">
        <f aca="false">IF(OR(H545="",I545="",J545=""),"",IF(F545="Long",(I545-H545)*J545*IF(G545="",1,G545),(H545-I545)*J545*IF(G545="",1,G545)))</f>
        <v/>
      </c>
      <c r="P545" s="13" t="str">
        <f aca="false">IF(O545="","",O545-IF(N545="",0,N545))</f>
        <v/>
      </c>
      <c r="Q545" s="14" t="str">
        <f aca="false">IFERROR(IF(P545="","",P545/K545),"")</f>
        <v/>
      </c>
      <c r="R545" s="6"/>
      <c r="S545" s="5"/>
      <c r="T545" s="15"/>
    </row>
    <row r="546" customFormat="false" ht="18" hidden="false" customHeight="true" outlineLevel="0" collapsed="false">
      <c r="A546" s="16" t="str">
        <f aca="false">IF(B546&lt;&gt;"",ROW()-2,"")</f>
        <v/>
      </c>
      <c r="B546" s="17"/>
      <c r="C546" s="17"/>
      <c r="D546" s="18"/>
      <c r="E546" s="19"/>
      <c r="F546" s="18"/>
      <c r="G546" s="20"/>
      <c r="H546" s="21"/>
      <c r="I546" s="21"/>
      <c r="J546" s="22"/>
      <c r="K546" s="23" t="str">
        <f aca="false">IF(H546*J546=0,"",H546*J546)</f>
        <v/>
      </c>
      <c r="L546" s="24"/>
      <c r="M546" s="24"/>
      <c r="N546" s="23" t="str">
        <f aca="false">IF(L546+M546=0,"",L546+M546)</f>
        <v/>
      </c>
      <c r="O546" s="25" t="str">
        <f aca="false">IF(OR(H546="",I546="",J546=""),"",IF(F546="Long",(I546-H546)*J546*IF(G546="",1,G546),(H546-I546)*J546*IF(G546="",1,G546)))</f>
        <v/>
      </c>
      <c r="P546" s="26" t="str">
        <f aca="false">IF(O546="","",O546-IF(N546="",0,N546))</f>
        <v/>
      </c>
      <c r="Q546" s="27" t="str">
        <f aca="false">IFERROR(IF(P546="","",P546/K546),"")</f>
        <v/>
      </c>
      <c r="R546" s="19"/>
      <c r="S546" s="18"/>
      <c r="T546" s="28"/>
    </row>
    <row r="547" customFormat="false" ht="18" hidden="false" customHeight="true" outlineLevel="0" collapsed="false">
      <c r="A547" s="3" t="str">
        <f aca="false">IF(B547&lt;&gt;"",ROW()-2,"")</f>
        <v/>
      </c>
      <c r="B547" s="4"/>
      <c r="C547" s="4"/>
      <c r="D547" s="5"/>
      <c r="E547" s="6"/>
      <c r="F547" s="5"/>
      <c r="G547" s="7"/>
      <c r="H547" s="8"/>
      <c r="I547" s="8"/>
      <c r="J547" s="9"/>
      <c r="K547" s="10" t="str">
        <f aca="false">IF(H547*J547=0,"",H547*J547)</f>
        <v/>
      </c>
      <c r="L547" s="11"/>
      <c r="M547" s="11"/>
      <c r="N547" s="10" t="str">
        <f aca="false">IF(L547+M547=0,"",L547+M547)</f>
        <v/>
      </c>
      <c r="O547" s="12" t="str">
        <f aca="false">IF(OR(H547="",I547="",J547=""),"",IF(F547="Long",(I547-H547)*J547*IF(G547="",1,G547),(H547-I547)*J547*IF(G547="",1,G547)))</f>
        <v/>
      </c>
      <c r="P547" s="13" t="str">
        <f aca="false">IF(O547="","",O547-IF(N547="",0,N547))</f>
        <v/>
      </c>
      <c r="Q547" s="14" t="str">
        <f aca="false">IFERROR(IF(P547="","",P547/K547),"")</f>
        <v/>
      </c>
      <c r="R547" s="6"/>
      <c r="S547" s="5"/>
      <c r="T547" s="15"/>
    </row>
    <row r="548" customFormat="false" ht="18" hidden="false" customHeight="true" outlineLevel="0" collapsed="false">
      <c r="A548" s="16" t="str">
        <f aca="false">IF(B548&lt;&gt;"",ROW()-2,"")</f>
        <v/>
      </c>
      <c r="B548" s="17"/>
      <c r="C548" s="17"/>
      <c r="D548" s="18"/>
      <c r="E548" s="19"/>
      <c r="F548" s="18"/>
      <c r="G548" s="20"/>
      <c r="H548" s="21"/>
      <c r="I548" s="21"/>
      <c r="J548" s="22"/>
      <c r="K548" s="23" t="str">
        <f aca="false">IF(H548*J548=0,"",H548*J548)</f>
        <v/>
      </c>
      <c r="L548" s="24"/>
      <c r="M548" s="24"/>
      <c r="N548" s="23" t="str">
        <f aca="false">IF(L548+M548=0,"",L548+M548)</f>
        <v/>
      </c>
      <c r="O548" s="25" t="str">
        <f aca="false">IF(OR(H548="",I548="",J548=""),"",IF(F548="Long",(I548-H548)*J548*IF(G548="",1,G548),(H548-I548)*J548*IF(G548="",1,G548)))</f>
        <v/>
      </c>
      <c r="P548" s="26" t="str">
        <f aca="false">IF(O548="","",O548-IF(N548="",0,N548))</f>
        <v/>
      </c>
      <c r="Q548" s="27" t="str">
        <f aca="false">IFERROR(IF(P548="","",P548/K548),"")</f>
        <v/>
      </c>
      <c r="R548" s="19"/>
      <c r="S548" s="18"/>
      <c r="T548" s="28"/>
    </row>
    <row r="549" customFormat="false" ht="18" hidden="false" customHeight="true" outlineLevel="0" collapsed="false">
      <c r="A549" s="3" t="str">
        <f aca="false">IF(B549&lt;&gt;"",ROW()-2,"")</f>
        <v/>
      </c>
      <c r="B549" s="4"/>
      <c r="C549" s="4"/>
      <c r="D549" s="5"/>
      <c r="E549" s="6"/>
      <c r="F549" s="5"/>
      <c r="G549" s="7"/>
      <c r="H549" s="8"/>
      <c r="I549" s="8"/>
      <c r="J549" s="9"/>
      <c r="K549" s="10" t="str">
        <f aca="false">IF(H549*J549=0,"",H549*J549)</f>
        <v/>
      </c>
      <c r="L549" s="11"/>
      <c r="M549" s="11"/>
      <c r="N549" s="10" t="str">
        <f aca="false">IF(L549+M549=0,"",L549+M549)</f>
        <v/>
      </c>
      <c r="O549" s="12" t="str">
        <f aca="false">IF(OR(H549="",I549="",J549=""),"",IF(F549="Long",(I549-H549)*J549*IF(G549="",1,G549),(H549-I549)*J549*IF(G549="",1,G549)))</f>
        <v/>
      </c>
      <c r="P549" s="13" t="str">
        <f aca="false">IF(O549="","",O549-IF(N549="",0,N549))</f>
        <v/>
      </c>
      <c r="Q549" s="14" t="str">
        <f aca="false">IFERROR(IF(P549="","",P549/K549),"")</f>
        <v/>
      </c>
      <c r="R549" s="6"/>
      <c r="S549" s="5"/>
      <c r="T549" s="15"/>
    </row>
    <row r="550" customFormat="false" ht="18" hidden="false" customHeight="true" outlineLevel="0" collapsed="false">
      <c r="A550" s="16" t="str">
        <f aca="false">IF(B550&lt;&gt;"",ROW()-2,"")</f>
        <v/>
      </c>
      <c r="B550" s="17"/>
      <c r="C550" s="17"/>
      <c r="D550" s="18"/>
      <c r="E550" s="19"/>
      <c r="F550" s="18"/>
      <c r="G550" s="20"/>
      <c r="H550" s="21"/>
      <c r="I550" s="21"/>
      <c r="J550" s="22"/>
      <c r="K550" s="23" t="str">
        <f aca="false">IF(H550*J550=0,"",H550*J550)</f>
        <v/>
      </c>
      <c r="L550" s="24"/>
      <c r="M550" s="24"/>
      <c r="N550" s="23" t="str">
        <f aca="false">IF(L550+M550=0,"",L550+M550)</f>
        <v/>
      </c>
      <c r="O550" s="25" t="str">
        <f aca="false">IF(OR(H550="",I550="",J550=""),"",IF(F550="Long",(I550-H550)*J550*IF(G550="",1,G550),(H550-I550)*J550*IF(G550="",1,G550)))</f>
        <v/>
      </c>
      <c r="P550" s="26" t="str">
        <f aca="false">IF(O550="","",O550-IF(N550="",0,N550))</f>
        <v/>
      </c>
      <c r="Q550" s="27" t="str">
        <f aca="false">IFERROR(IF(P550="","",P550/K550),"")</f>
        <v/>
      </c>
      <c r="R550" s="19"/>
      <c r="S550" s="18"/>
      <c r="T550" s="28"/>
    </row>
    <row r="551" customFormat="false" ht="18" hidden="false" customHeight="true" outlineLevel="0" collapsed="false">
      <c r="A551" s="3" t="str">
        <f aca="false">IF(B551&lt;&gt;"",ROW()-2,"")</f>
        <v/>
      </c>
      <c r="B551" s="4"/>
      <c r="C551" s="4"/>
      <c r="D551" s="5"/>
      <c r="E551" s="6"/>
      <c r="F551" s="5"/>
      <c r="G551" s="7"/>
      <c r="H551" s="8"/>
      <c r="I551" s="8"/>
      <c r="J551" s="9"/>
      <c r="K551" s="10" t="str">
        <f aca="false">IF(H551*J551=0,"",H551*J551)</f>
        <v/>
      </c>
      <c r="L551" s="11"/>
      <c r="M551" s="11"/>
      <c r="N551" s="10" t="str">
        <f aca="false">IF(L551+M551=0,"",L551+M551)</f>
        <v/>
      </c>
      <c r="O551" s="12" t="str">
        <f aca="false">IF(OR(H551="",I551="",J551=""),"",IF(F551="Long",(I551-H551)*J551*IF(G551="",1,G551),(H551-I551)*J551*IF(G551="",1,G551)))</f>
        <v/>
      </c>
      <c r="P551" s="13" t="str">
        <f aca="false">IF(O551="","",O551-IF(N551="",0,N551))</f>
        <v/>
      </c>
      <c r="Q551" s="14" t="str">
        <f aca="false">IFERROR(IF(P551="","",P551/K551),"")</f>
        <v/>
      </c>
      <c r="R551" s="6"/>
      <c r="S551" s="5"/>
      <c r="T551" s="15"/>
    </row>
    <row r="552" customFormat="false" ht="18" hidden="false" customHeight="true" outlineLevel="0" collapsed="false">
      <c r="A552" s="16" t="str">
        <f aca="false">IF(B552&lt;&gt;"",ROW()-2,"")</f>
        <v/>
      </c>
      <c r="B552" s="17"/>
      <c r="C552" s="17"/>
      <c r="D552" s="18"/>
      <c r="E552" s="19"/>
      <c r="F552" s="18"/>
      <c r="G552" s="20"/>
      <c r="H552" s="21"/>
      <c r="I552" s="21"/>
      <c r="J552" s="22"/>
      <c r="K552" s="23" t="str">
        <f aca="false">IF(H552*J552=0,"",H552*J552)</f>
        <v/>
      </c>
      <c r="L552" s="24"/>
      <c r="M552" s="24"/>
      <c r="N552" s="23" t="str">
        <f aca="false">IF(L552+M552=0,"",L552+M552)</f>
        <v/>
      </c>
      <c r="O552" s="25" t="str">
        <f aca="false">IF(OR(H552="",I552="",J552=""),"",IF(F552="Long",(I552-H552)*J552*IF(G552="",1,G552),(H552-I552)*J552*IF(G552="",1,G552)))</f>
        <v/>
      </c>
      <c r="P552" s="26" t="str">
        <f aca="false">IF(O552="","",O552-IF(N552="",0,N552))</f>
        <v/>
      </c>
      <c r="Q552" s="27" t="str">
        <f aca="false">IFERROR(IF(P552="","",P552/K552),"")</f>
        <v/>
      </c>
      <c r="R552" s="19"/>
      <c r="S552" s="18"/>
      <c r="T552" s="28"/>
    </row>
    <row r="553" customFormat="false" ht="18" hidden="false" customHeight="true" outlineLevel="0" collapsed="false">
      <c r="A553" s="3" t="str">
        <f aca="false">IF(B553&lt;&gt;"",ROW()-2,"")</f>
        <v/>
      </c>
      <c r="B553" s="4"/>
      <c r="C553" s="4"/>
      <c r="D553" s="5"/>
      <c r="E553" s="6"/>
      <c r="F553" s="5"/>
      <c r="G553" s="7"/>
      <c r="H553" s="8"/>
      <c r="I553" s="8"/>
      <c r="J553" s="9"/>
      <c r="K553" s="10" t="str">
        <f aca="false">IF(H553*J553=0,"",H553*J553)</f>
        <v/>
      </c>
      <c r="L553" s="11"/>
      <c r="M553" s="11"/>
      <c r="N553" s="10" t="str">
        <f aca="false">IF(L553+M553=0,"",L553+M553)</f>
        <v/>
      </c>
      <c r="O553" s="12" t="str">
        <f aca="false">IF(OR(H553="",I553="",J553=""),"",IF(F553="Long",(I553-H553)*J553*IF(G553="",1,G553),(H553-I553)*J553*IF(G553="",1,G553)))</f>
        <v/>
      </c>
      <c r="P553" s="13" t="str">
        <f aca="false">IF(O553="","",O553-IF(N553="",0,N553))</f>
        <v/>
      </c>
      <c r="Q553" s="14" t="str">
        <f aca="false">IFERROR(IF(P553="","",P553/K553),"")</f>
        <v/>
      </c>
      <c r="R553" s="6"/>
      <c r="S553" s="5"/>
      <c r="T553" s="15"/>
    </row>
    <row r="554" customFormat="false" ht="18" hidden="false" customHeight="true" outlineLevel="0" collapsed="false">
      <c r="A554" s="16" t="str">
        <f aca="false">IF(B554&lt;&gt;"",ROW()-2,"")</f>
        <v/>
      </c>
      <c r="B554" s="17"/>
      <c r="C554" s="17"/>
      <c r="D554" s="18"/>
      <c r="E554" s="19"/>
      <c r="F554" s="18"/>
      <c r="G554" s="20"/>
      <c r="H554" s="21"/>
      <c r="I554" s="21"/>
      <c r="J554" s="22"/>
      <c r="K554" s="23" t="str">
        <f aca="false">IF(H554*J554=0,"",H554*J554)</f>
        <v/>
      </c>
      <c r="L554" s="24"/>
      <c r="M554" s="24"/>
      <c r="N554" s="23" t="str">
        <f aca="false">IF(L554+M554=0,"",L554+M554)</f>
        <v/>
      </c>
      <c r="O554" s="25" t="str">
        <f aca="false">IF(OR(H554="",I554="",J554=""),"",IF(F554="Long",(I554-H554)*J554*IF(G554="",1,G554),(H554-I554)*J554*IF(G554="",1,G554)))</f>
        <v/>
      </c>
      <c r="P554" s="26" t="str">
        <f aca="false">IF(O554="","",O554-IF(N554="",0,N554))</f>
        <v/>
      </c>
      <c r="Q554" s="27" t="str">
        <f aca="false">IFERROR(IF(P554="","",P554/K554),"")</f>
        <v/>
      </c>
      <c r="R554" s="19"/>
      <c r="S554" s="18"/>
      <c r="T554" s="28"/>
    </row>
    <row r="555" customFormat="false" ht="18" hidden="false" customHeight="true" outlineLevel="0" collapsed="false">
      <c r="A555" s="3" t="str">
        <f aca="false">IF(B555&lt;&gt;"",ROW()-2,"")</f>
        <v/>
      </c>
      <c r="B555" s="4"/>
      <c r="C555" s="4"/>
      <c r="D555" s="5"/>
      <c r="E555" s="6"/>
      <c r="F555" s="5"/>
      <c r="G555" s="7"/>
      <c r="H555" s="8"/>
      <c r="I555" s="8"/>
      <c r="J555" s="9"/>
      <c r="K555" s="10" t="str">
        <f aca="false">IF(H555*J555=0,"",H555*J555)</f>
        <v/>
      </c>
      <c r="L555" s="11"/>
      <c r="M555" s="11"/>
      <c r="N555" s="10" t="str">
        <f aca="false">IF(L555+M555=0,"",L555+M555)</f>
        <v/>
      </c>
      <c r="O555" s="12" t="str">
        <f aca="false">IF(OR(H555="",I555="",J555=""),"",IF(F555="Long",(I555-H555)*J555*IF(G555="",1,G555),(H555-I555)*J555*IF(G555="",1,G555)))</f>
        <v/>
      </c>
      <c r="P555" s="13" t="str">
        <f aca="false">IF(O555="","",O555-IF(N555="",0,N555))</f>
        <v/>
      </c>
      <c r="Q555" s="14" t="str">
        <f aca="false">IFERROR(IF(P555="","",P555/K555),"")</f>
        <v/>
      </c>
      <c r="R555" s="6"/>
      <c r="S555" s="5"/>
      <c r="T555" s="15"/>
    </row>
    <row r="556" customFormat="false" ht="18" hidden="false" customHeight="true" outlineLevel="0" collapsed="false">
      <c r="A556" s="16" t="str">
        <f aca="false">IF(B556&lt;&gt;"",ROW()-2,"")</f>
        <v/>
      </c>
      <c r="B556" s="17"/>
      <c r="C556" s="17"/>
      <c r="D556" s="18"/>
      <c r="E556" s="19"/>
      <c r="F556" s="18"/>
      <c r="G556" s="20"/>
      <c r="H556" s="21"/>
      <c r="I556" s="21"/>
      <c r="J556" s="22"/>
      <c r="K556" s="23" t="str">
        <f aca="false">IF(H556*J556=0,"",H556*J556)</f>
        <v/>
      </c>
      <c r="L556" s="24"/>
      <c r="M556" s="24"/>
      <c r="N556" s="23" t="str">
        <f aca="false">IF(L556+M556=0,"",L556+M556)</f>
        <v/>
      </c>
      <c r="O556" s="25" t="str">
        <f aca="false">IF(OR(H556="",I556="",J556=""),"",IF(F556="Long",(I556-H556)*J556*IF(G556="",1,G556),(H556-I556)*J556*IF(G556="",1,G556)))</f>
        <v/>
      </c>
      <c r="P556" s="26" t="str">
        <f aca="false">IF(O556="","",O556-IF(N556="",0,N556))</f>
        <v/>
      </c>
      <c r="Q556" s="27" t="str">
        <f aca="false">IFERROR(IF(P556="","",P556/K556),"")</f>
        <v/>
      </c>
      <c r="R556" s="19"/>
      <c r="S556" s="18"/>
      <c r="T556" s="28"/>
    </row>
    <row r="557" customFormat="false" ht="18" hidden="false" customHeight="true" outlineLevel="0" collapsed="false">
      <c r="A557" s="3" t="str">
        <f aca="false">IF(B557&lt;&gt;"",ROW()-2,"")</f>
        <v/>
      </c>
      <c r="B557" s="4"/>
      <c r="C557" s="4"/>
      <c r="D557" s="5"/>
      <c r="E557" s="6"/>
      <c r="F557" s="5"/>
      <c r="G557" s="7"/>
      <c r="H557" s="8"/>
      <c r="I557" s="8"/>
      <c r="J557" s="9"/>
      <c r="K557" s="10" t="str">
        <f aca="false">IF(H557*J557=0,"",H557*J557)</f>
        <v/>
      </c>
      <c r="L557" s="11"/>
      <c r="M557" s="11"/>
      <c r="N557" s="10" t="str">
        <f aca="false">IF(L557+M557=0,"",L557+M557)</f>
        <v/>
      </c>
      <c r="O557" s="12" t="str">
        <f aca="false">IF(OR(H557="",I557="",J557=""),"",IF(F557="Long",(I557-H557)*J557*IF(G557="",1,G557),(H557-I557)*J557*IF(G557="",1,G557)))</f>
        <v/>
      </c>
      <c r="P557" s="13" t="str">
        <f aca="false">IF(O557="","",O557-IF(N557="",0,N557))</f>
        <v/>
      </c>
      <c r="Q557" s="14" t="str">
        <f aca="false">IFERROR(IF(P557="","",P557/K557),"")</f>
        <v/>
      </c>
      <c r="R557" s="6"/>
      <c r="S557" s="5"/>
      <c r="T557" s="15"/>
    </row>
    <row r="558" customFormat="false" ht="18" hidden="false" customHeight="true" outlineLevel="0" collapsed="false">
      <c r="A558" s="16" t="str">
        <f aca="false">IF(B558&lt;&gt;"",ROW()-2,"")</f>
        <v/>
      </c>
      <c r="B558" s="17"/>
      <c r="C558" s="17"/>
      <c r="D558" s="18"/>
      <c r="E558" s="19"/>
      <c r="F558" s="18"/>
      <c r="G558" s="20"/>
      <c r="H558" s="21"/>
      <c r="I558" s="21"/>
      <c r="J558" s="22"/>
      <c r="K558" s="23" t="str">
        <f aca="false">IF(H558*J558=0,"",H558*J558)</f>
        <v/>
      </c>
      <c r="L558" s="24"/>
      <c r="M558" s="24"/>
      <c r="N558" s="23" t="str">
        <f aca="false">IF(L558+M558=0,"",L558+M558)</f>
        <v/>
      </c>
      <c r="O558" s="25" t="str">
        <f aca="false">IF(OR(H558="",I558="",J558=""),"",IF(F558="Long",(I558-H558)*J558*IF(G558="",1,G558),(H558-I558)*J558*IF(G558="",1,G558)))</f>
        <v/>
      </c>
      <c r="P558" s="26" t="str">
        <f aca="false">IF(O558="","",O558-IF(N558="",0,N558))</f>
        <v/>
      </c>
      <c r="Q558" s="27" t="str">
        <f aca="false">IFERROR(IF(P558="","",P558/K558),"")</f>
        <v/>
      </c>
      <c r="R558" s="19"/>
      <c r="S558" s="18"/>
      <c r="T558" s="28"/>
    </row>
    <row r="559" customFormat="false" ht="18" hidden="false" customHeight="true" outlineLevel="0" collapsed="false">
      <c r="A559" s="3" t="str">
        <f aca="false">IF(B559&lt;&gt;"",ROW()-2,"")</f>
        <v/>
      </c>
      <c r="B559" s="4"/>
      <c r="C559" s="4"/>
      <c r="D559" s="5"/>
      <c r="E559" s="6"/>
      <c r="F559" s="5"/>
      <c r="G559" s="7"/>
      <c r="H559" s="8"/>
      <c r="I559" s="8"/>
      <c r="J559" s="9"/>
      <c r="K559" s="10" t="str">
        <f aca="false">IF(H559*J559=0,"",H559*J559)</f>
        <v/>
      </c>
      <c r="L559" s="11"/>
      <c r="M559" s="11"/>
      <c r="N559" s="10" t="str">
        <f aca="false">IF(L559+M559=0,"",L559+M559)</f>
        <v/>
      </c>
      <c r="O559" s="12" t="str">
        <f aca="false">IF(OR(H559="",I559="",J559=""),"",IF(F559="Long",(I559-H559)*J559*IF(G559="",1,G559),(H559-I559)*J559*IF(G559="",1,G559)))</f>
        <v/>
      </c>
      <c r="P559" s="13" t="str">
        <f aca="false">IF(O559="","",O559-IF(N559="",0,N559))</f>
        <v/>
      </c>
      <c r="Q559" s="14" t="str">
        <f aca="false">IFERROR(IF(P559="","",P559/K559),"")</f>
        <v/>
      </c>
      <c r="R559" s="6"/>
      <c r="S559" s="5"/>
      <c r="T559" s="15"/>
    </row>
    <row r="560" customFormat="false" ht="18" hidden="false" customHeight="true" outlineLevel="0" collapsed="false">
      <c r="A560" s="16" t="str">
        <f aca="false">IF(B560&lt;&gt;"",ROW()-2,"")</f>
        <v/>
      </c>
      <c r="B560" s="17"/>
      <c r="C560" s="17"/>
      <c r="D560" s="18"/>
      <c r="E560" s="19"/>
      <c r="F560" s="18"/>
      <c r="G560" s="20"/>
      <c r="H560" s="21"/>
      <c r="I560" s="21"/>
      <c r="J560" s="22"/>
      <c r="K560" s="23" t="str">
        <f aca="false">IF(H560*J560=0,"",H560*J560)</f>
        <v/>
      </c>
      <c r="L560" s="24"/>
      <c r="M560" s="24"/>
      <c r="N560" s="23" t="str">
        <f aca="false">IF(L560+M560=0,"",L560+M560)</f>
        <v/>
      </c>
      <c r="O560" s="25" t="str">
        <f aca="false">IF(OR(H560="",I560="",J560=""),"",IF(F560="Long",(I560-H560)*J560*IF(G560="",1,G560),(H560-I560)*J560*IF(G560="",1,G560)))</f>
        <v/>
      </c>
      <c r="P560" s="26" t="str">
        <f aca="false">IF(O560="","",O560-IF(N560="",0,N560))</f>
        <v/>
      </c>
      <c r="Q560" s="27" t="str">
        <f aca="false">IFERROR(IF(P560="","",P560/K560),"")</f>
        <v/>
      </c>
      <c r="R560" s="19"/>
      <c r="S560" s="18"/>
      <c r="T560" s="28"/>
    </row>
    <row r="561" customFormat="false" ht="18" hidden="false" customHeight="true" outlineLevel="0" collapsed="false">
      <c r="A561" s="3" t="str">
        <f aca="false">IF(B561&lt;&gt;"",ROW()-2,"")</f>
        <v/>
      </c>
      <c r="B561" s="4"/>
      <c r="C561" s="4"/>
      <c r="D561" s="5"/>
      <c r="E561" s="6"/>
      <c r="F561" s="5"/>
      <c r="G561" s="7"/>
      <c r="H561" s="8"/>
      <c r="I561" s="8"/>
      <c r="J561" s="9"/>
      <c r="K561" s="10" t="str">
        <f aca="false">IF(H561*J561=0,"",H561*J561)</f>
        <v/>
      </c>
      <c r="L561" s="11"/>
      <c r="M561" s="11"/>
      <c r="N561" s="10" t="str">
        <f aca="false">IF(L561+M561=0,"",L561+M561)</f>
        <v/>
      </c>
      <c r="O561" s="12" t="str">
        <f aca="false">IF(OR(H561="",I561="",J561=""),"",IF(F561="Long",(I561-H561)*J561*IF(G561="",1,G561),(H561-I561)*J561*IF(G561="",1,G561)))</f>
        <v/>
      </c>
      <c r="P561" s="13" t="str">
        <f aca="false">IF(O561="","",O561-IF(N561="",0,N561))</f>
        <v/>
      </c>
      <c r="Q561" s="14" t="str">
        <f aca="false">IFERROR(IF(P561="","",P561/K561),"")</f>
        <v/>
      </c>
      <c r="R561" s="6"/>
      <c r="S561" s="5"/>
      <c r="T561" s="15"/>
    </row>
    <row r="562" customFormat="false" ht="18" hidden="false" customHeight="true" outlineLevel="0" collapsed="false">
      <c r="A562" s="16" t="str">
        <f aca="false">IF(B562&lt;&gt;"",ROW()-2,"")</f>
        <v/>
      </c>
      <c r="B562" s="17"/>
      <c r="C562" s="17"/>
      <c r="D562" s="18"/>
      <c r="E562" s="19"/>
      <c r="F562" s="18"/>
      <c r="G562" s="20"/>
      <c r="H562" s="21"/>
      <c r="I562" s="21"/>
      <c r="J562" s="22"/>
      <c r="K562" s="23" t="str">
        <f aca="false">IF(H562*J562=0,"",H562*J562)</f>
        <v/>
      </c>
      <c r="L562" s="24"/>
      <c r="M562" s="24"/>
      <c r="N562" s="23" t="str">
        <f aca="false">IF(L562+M562=0,"",L562+M562)</f>
        <v/>
      </c>
      <c r="O562" s="25" t="str">
        <f aca="false">IF(OR(H562="",I562="",J562=""),"",IF(F562="Long",(I562-H562)*J562*IF(G562="",1,G562),(H562-I562)*J562*IF(G562="",1,G562)))</f>
        <v/>
      </c>
      <c r="P562" s="26" t="str">
        <f aca="false">IF(O562="","",O562-IF(N562="",0,N562))</f>
        <v/>
      </c>
      <c r="Q562" s="27" t="str">
        <f aca="false">IFERROR(IF(P562="","",P562/K562),"")</f>
        <v/>
      </c>
      <c r="R562" s="19"/>
      <c r="S562" s="18"/>
      <c r="T562" s="28"/>
    </row>
    <row r="563" customFormat="false" ht="18" hidden="false" customHeight="true" outlineLevel="0" collapsed="false">
      <c r="A563" s="3" t="str">
        <f aca="false">IF(B563&lt;&gt;"",ROW()-2,"")</f>
        <v/>
      </c>
      <c r="B563" s="4"/>
      <c r="C563" s="4"/>
      <c r="D563" s="5"/>
      <c r="E563" s="6"/>
      <c r="F563" s="5"/>
      <c r="G563" s="7"/>
      <c r="H563" s="8"/>
      <c r="I563" s="8"/>
      <c r="J563" s="9"/>
      <c r="K563" s="10" t="str">
        <f aca="false">IF(H563*J563=0,"",H563*J563)</f>
        <v/>
      </c>
      <c r="L563" s="11"/>
      <c r="M563" s="11"/>
      <c r="N563" s="10" t="str">
        <f aca="false">IF(L563+M563=0,"",L563+M563)</f>
        <v/>
      </c>
      <c r="O563" s="12" t="str">
        <f aca="false">IF(OR(H563="",I563="",J563=""),"",IF(F563="Long",(I563-H563)*J563*IF(G563="",1,G563),(H563-I563)*J563*IF(G563="",1,G563)))</f>
        <v/>
      </c>
      <c r="P563" s="13" t="str">
        <f aca="false">IF(O563="","",O563-IF(N563="",0,N563))</f>
        <v/>
      </c>
      <c r="Q563" s="14" t="str">
        <f aca="false">IFERROR(IF(P563="","",P563/K563),"")</f>
        <v/>
      </c>
      <c r="R563" s="6"/>
      <c r="S563" s="5"/>
      <c r="T563" s="15"/>
    </row>
    <row r="564" customFormat="false" ht="18" hidden="false" customHeight="true" outlineLevel="0" collapsed="false">
      <c r="A564" s="16" t="str">
        <f aca="false">IF(B564&lt;&gt;"",ROW()-2,"")</f>
        <v/>
      </c>
      <c r="B564" s="17"/>
      <c r="C564" s="17"/>
      <c r="D564" s="18"/>
      <c r="E564" s="19"/>
      <c r="F564" s="18"/>
      <c r="G564" s="20"/>
      <c r="H564" s="21"/>
      <c r="I564" s="21"/>
      <c r="J564" s="22"/>
      <c r="K564" s="23" t="str">
        <f aca="false">IF(H564*J564=0,"",H564*J564)</f>
        <v/>
      </c>
      <c r="L564" s="24"/>
      <c r="M564" s="24"/>
      <c r="N564" s="23" t="str">
        <f aca="false">IF(L564+M564=0,"",L564+M564)</f>
        <v/>
      </c>
      <c r="O564" s="25" t="str">
        <f aca="false">IF(OR(H564="",I564="",J564=""),"",IF(F564="Long",(I564-H564)*J564*IF(G564="",1,G564),(H564-I564)*J564*IF(G564="",1,G564)))</f>
        <v/>
      </c>
      <c r="P564" s="26" t="str">
        <f aca="false">IF(O564="","",O564-IF(N564="",0,N564))</f>
        <v/>
      </c>
      <c r="Q564" s="27" t="str">
        <f aca="false">IFERROR(IF(P564="","",P564/K564),"")</f>
        <v/>
      </c>
      <c r="R564" s="19"/>
      <c r="S564" s="18"/>
      <c r="T564" s="28"/>
    </row>
    <row r="565" customFormat="false" ht="18" hidden="false" customHeight="true" outlineLevel="0" collapsed="false">
      <c r="A565" s="3" t="str">
        <f aca="false">IF(B565&lt;&gt;"",ROW()-2,"")</f>
        <v/>
      </c>
      <c r="B565" s="4"/>
      <c r="C565" s="4"/>
      <c r="D565" s="5"/>
      <c r="E565" s="6"/>
      <c r="F565" s="5"/>
      <c r="G565" s="7"/>
      <c r="H565" s="8"/>
      <c r="I565" s="8"/>
      <c r="J565" s="9"/>
      <c r="K565" s="10" t="str">
        <f aca="false">IF(H565*J565=0,"",H565*J565)</f>
        <v/>
      </c>
      <c r="L565" s="11"/>
      <c r="M565" s="11"/>
      <c r="N565" s="10" t="str">
        <f aca="false">IF(L565+M565=0,"",L565+M565)</f>
        <v/>
      </c>
      <c r="O565" s="12" t="str">
        <f aca="false">IF(OR(H565="",I565="",J565=""),"",IF(F565="Long",(I565-H565)*J565*IF(G565="",1,G565),(H565-I565)*J565*IF(G565="",1,G565)))</f>
        <v/>
      </c>
      <c r="P565" s="13" t="str">
        <f aca="false">IF(O565="","",O565-IF(N565="",0,N565))</f>
        <v/>
      </c>
      <c r="Q565" s="14" t="str">
        <f aca="false">IFERROR(IF(P565="","",P565/K565),"")</f>
        <v/>
      </c>
      <c r="R565" s="6"/>
      <c r="S565" s="5"/>
      <c r="T565" s="15"/>
    </row>
    <row r="566" customFormat="false" ht="18" hidden="false" customHeight="true" outlineLevel="0" collapsed="false">
      <c r="A566" s="16" t="str">
        <f aca="false">IF(B566&lt;&gt;"",ROW()-2,"")</f>
        <v/>
      </c>
      <c r="B566" s="17"/>
      <c r="C566" s="17"/>
      <c r="D566" s="18"/>
      <c r="E566" s="19"/>
      <c r="F566" s="18"/>
      <c r="G566" s="20"/>
      <c r="H566" s="21"/>
      <c r="I566" s="21"/>
      <c r="J566" s="22"/>
      <c r="K566" s="23" t="str">
        <f aca="false">IF(H566*J566=0,"",H566*J566)</f>
        <v/>
      </c>
      <c r="L566" s="24"/>
      <c r="M566" s="24"/>
      <c r="N566" s="23" t="str">
        <f aca="false">IF(L566+M566=0,"",L566+M566)</f>
        <v/>
      </c>
      <c r="O566" s="25" t="str">
        <f aca="false">IF(OR(H566="",I566="",J566=""),"",IF(F566="Long",(I566-H566)*J566*IF(G566="",1,G566),(H566-I566)*J566*IF(G566="",1,G566)))</f>
        <v/>
      </c>
      <c r="P566" s="26" t="str">
        <f aca="false">IF(O566="","",O566-IF(N566="",0,N566))</f>
        <v/>
      </c>
      <c r="Q566" s="27" t="str">
        <f aca="false">IFERROR(IF(P566="","",P566/K566),"")</f>
        <v/>
      </c>
      <c r="R566" s="19"/>
      <c r="S566" s="18"/>
      <c r="T566" s="28"/>
    </row>
    <row r="567" customFormat="false" ht="18" hidden="false" customHeight="true" outlineLevel="0" collapsed="false">
      <c r="A567" s="3" t="str">
        <f aca="false">IF(B567&lt;&gt;"",ROW()-2,"")</f>
        <v/>
      </c>
      <c r="B567" s="4"/>
      <c r="C567" s="4"/>
      <c r="D567" s="5"/>
      <c r="E567" s="6"/>
      <c r="F567" s="5"/>
      <c r="G567" s="7"/>
      <c r="H567" s="8"/>
      <c r="I567" s="8"/>
      <c r="J567" s="9"/>
      <c r="K567" s="10" t="str">
        <f aca="false">IF(H567*J567=0,"",H567*J567)</f>
        <v/>
      </c>
      <c r="L567" s="11"/>
      <c r="M567" s="11"/>
      <c r="N567" s="10" t="str">
        <f aca="false">IF(L567+M567=0,"",L567+M567)</f>
        <v/>
      </c>
      <c r="O567" s="12" t="str">
        <f aca="false">IF(OR(H567="",I567="",J567=""),"",IF(F567="Long",(I567-H567)*J567*IF(G567="",1,G567),(H567-I567)*J567*IF(G567="",1,G567)))</f>
        <v/>
      </c>
      <c r="P567" s="13" t="str">
        <f aca="false">IF(O567="","",O567-IF(N567="",0,N567))</f>
        <v/>
      </c>
      <c r="Q567" s="14" t="str">
        <f aca="false">IFERROR(IF(P567="","",P567/K567),"")</f>
        <v/>
      </c>
      <c r="R567" s="6"/>
      <c r="S567" s="5"/>
      <c r="T567" s="15"/>
    </row>
    <row r="568" customFormat="false" ht="18" hidden="false" customHeight="true" outlineLevel="0" collapsed="false">
      <c r="A568" s="16" t="str">
        <f aca="false">IF(B568&lt;&gt;"",ROW()-2,"")</f>
        <v/>
      </c>
      <c r="B568" s="17"/>
      <c r="C568" s="17"/>
      <c r="D568" s="18"/>
      <c r="E568" s="19"/>
      <c r="F568" s="18"/>
      <c r="G568" s="20"/>
      <c r="H568" s="21"/>
      <c r="I568" s="21"/>
      <c r="J568" s="22"/>
      <c r="K568" s="23" t="str">
        <f aca="false">IF(H568*J568=0,"",H568*J568)</f>
        <v/>
      </c>
      <c r="L568" s="24"/>
      <c r="M568" s="24"/>
      <c r="N568" s="23" t="str">
        <f aca="false">IF(L568+M568=0,"",L568+M568)</f>
        <v/>
      </c>
      <c r="O568" s="25" t="str">
        <f aca="false">IF(OR(H568="",I568="",J568=""),"",IF(F568="Long",(I568-H568)*J568*IF(G568="",1,G568),(H568-I568)*J568*IF(G568="",1,G568)))</f>
        <v/>
      </c>
      <c r="P568" s="26" t="str">
        <f aca="false">IF(O568="","",O568-IF(N568="",0,N568))</f>
        <v/>
      </c>
      <c r="Q568" s="27" t="str">
        <f aca="false">IFERROR(IF(P568="","",P568/K568),"")</f>
        <v/>
      </c>
      <c r="R568" s="19"/>
      <c r="S568" s="18"/>
      <c r="T568" s="28"/>
    </row>
    <row r="569" customFormat="false" ht="18" hidden="false" customHeight="true" outlineLevel="0" collapsed="false">
      <c r="A569" s="3" t="str">
        <f aca="false">IF(B569&lt;&gt;"",ROW()-2,"")</f>
        <v/>
      </c>
      <c r="B569" s="4"/>
      <c r="C569" s="4"/>
      <c r="D569" s="5"/>
      <c r="E569" s="6"/>
      <c r="F569" s="5"/>
      <c r="G569" s="7"/>
      <c r="H569" s="8"/>
      <c r="I569" s="8"/>
      <c r="J569" s="9"/>
      <c r="K569" s="10" t="str">
        <f aca="false">IF(H569*J569=0,"",H569*J569)</f>
        <v/>
      </c>
      <c r="L569" s="11"/>
      <c r="M569" s="11"/>
      <c r="N569" s="10" t="str">
        <f aca="false">IF(L569+M569=0,"",L569+M569)</f>
        <v/>
      </c>
      <c r="O569" s="12" t="str">
        <f aca="false">IF(OR(H569="",I569="",J569=""),"",IF(F569="Long",(I569-H569)*J569*IF(G569="",1,G569),(H569-I569)*J569*IF(G569="",1,G569)))</f>
        <v/>
      </c>
      <c r="P569" s="13" t="str">
        <f aca="false">IF(O569="","",O569-IF(N569="",0,N569))</f>
        <v/>
      </c>
      <c r="Q569" s="14" t="str">
        <f aca="false">IFERROR(IF(P569="","",P569/K569),"")</f>
        <v/>
      </c>
      <c r="R569" s="6"/>
      <c r="S569" s="5"/>
      <c r="T569" s="15"/>
    </row>
    <row r="570" customFormat="false" ht="18" hidden="false" customHeight="true" outlineLevel="0" collapsed="false">
      <c r="A570" s="16" t="str">
        <f aca="false">IF(B570&lt;&gt;"",ROW()-2,"")</f>
        <v/>
      </c>
      <c r="B570" s="17"/>
      <c r="C570" s="17"/>
      <c r="D570" s="18"/>
      <c r="E570" s="19"/>
      <c r="F570" s="18"/>
      <c r="G570" s="20"/>
      <c r="H570" s="21"/>
      <c r="I570" s="21"/>
      <c r="J570" s="22"/>
      <c r="K570" s="23" t="str">
        <f aca="false">IF(H570*J570=0,"",H570*J570)</f>
        <v/>
      </c>
      <c r="L570" s="24"/>
      <c r="M570" s="24"/>
      <c r="N570" s="23" t="str">
        <f aca="false">IF(L570+M570=0,"",L570+M570)</f>
        <v/>
      </c>
      <c r="O570" s="25" t="str">
        <f aca="false">IF(OR(H570="",I570="",J570=""),"",IF(F570="Long",(I570-H570)*J570*IF(G570="",1,G570),(H570-I570)*J570*IF(G570="",1,G570)))</f>
        <v/>
      </c>
      <c r="P570" s="26" t="str">
        <f aca="false">IF(O570="","",O570-IF(N570="",0,N570))</f>
        <v/>
      </c>
      <c r="Q570" s="27" t="str">
        <f aca="false">IFERROR(IF(P570="","",P570/K570),"")</f>
        <v/>
      </c>
      <c r="R570" s="19"/>
      <c r="S570" s="18"/>
      <c r="T570" s="28"/>
    </row>
    <row r="571" customFormat="false" ht="18" hidden="false" customHeight="true" outlineLevel="0" collapsed="false">
      <c r="A571" s="3" t="str">
        <f aca="false">IF(B571&lt;&gt;"",ROW()-2,"")</f>
        <v/>
      </c>
      <c r="B571" s="4"/>
      <c r="C571" s="4"/>
      <c r="D571" s="5"/>
      <c r="E571" s="6"/>
      <c r="F571" s="5"/>
      <c r="G571" s="7"/>
      <c r="H571" s="8"/>
      <c r="I571" s="8"/>
      <c r="J571" s="9"/>
      <c r="K571" s="10" t="str">
        <f aca="false">IF(H571*J571=0,"",H571*J571)</f>
        <v/>
      </c>
      <c r="L571" s="11"/>
      <c r="M571" s="11"/>
      <c r="N571" s="10" t="str">
        <f aca="false">IF(L571+M571=0,"",L571+M571)</f>
        <v/>
      </c>
      <c r="O571" s="12" t="str">
        <f aca="false">IF(OR(H571="",I571="",J571=""),"",IF(F571="Long",(I571-H571)*J571*IF(G571="",1,G571),(H571-I571)*J571*IF(G571="",1,G571)))</f>
        <v/>
      </c>
      <c r="P571" s="13" t="str">
        <f aca="false">IF(O571="","",O571-IF(N571="",0,N571))</f>
        <v/>
      </c>
      <c r="Q571" s="14" t="str">
        <f aca="false">IFERROR(IF(P571="","",P571/K571),"")</f>
        <v/>
      </c>
      <c r="R571" s="6"/>
      <c r="S571" s="5"/>
      <c r="T571" s="15"/>
    </row>
    <row r="572" customFormat="false" ht="18" hidden="false" customHeight="true" outlineLevel="0" collapsed="false">
      <c r="A572" s="16" t="str">
        <f aca="false">IF(B572&lt;&gt;"",ROW()-2,"")</f>
        <v/>
      </c>
      <c r="B572" s="17"/>
      <c r="C572" s="17"/>
      <c r="D572" s="18"/>
      <c r="E572" s="19"/>
      <c r="F572" s="18"/>
      <c r="G572" s="20"/>
      <c r="H572" s="21"/>
      <c r="I572" s="21"/>
      <c r="J572" s="22"/>
      <c r="K572" s="23" t="str">
        <f aca="false">IF(H572*J572=0,"",H572*J572)</f>
        <v/>
      </c>
      <c r="L572" s="24"/>
      <c r="M572" s="24"/>
      <c r="N572" s="23" t="str">
        <f aca="false">IF(L572+M572=0,"",L572+M572)</f>
        <v/>
      </c>
      <c r="O572" s="25" t="str">
        <f aca="false">IF(OR(H572="",I572="",J572=""),"",IF(F572="Long",(I572-H572)*J572*IF(G572="",1,G572),(H572-I572)*J572*IF(G572="",1,G572)))</f>
        <v/>
      </c>
      <c r="P572" s="26" t="str">
        <f aca="false">IF(O572="","",O572-IF(N572="",0,N572))</f>
        <v/>
      </c>
      <c r="Q572" s="27" t="str">
        <f aca="false">IFERROR(IF(P572="","",P572/K572),"")</f>
        <v/>
      </c>
      <c r="R572" s="19"/>
      <c r="S572" s="18"/>
      <c r="T572" s="28"/>
    </row>
    <row r="573" customFormat="false" ht="18" hidden="false" customHeight="true" outlineLevel="0" collapsed="false">
      <c r="A573" s="3" t="str">
        <f aca="false">IF(B573&lt;&gt;"",ROW()-2,"")</f>
        <v/>
      </c>
      <c r="B573" s="4"/>
      <c r="C573" s="4"/>
      <c r="D573" s="5"/>
      <c r="E573" s="6"/>
      <c r="F573" s="5"/>
      <c r="G573" s="7"/>
      <c r="H573" s="8"/>
      <c r="I573" s="8"/>
      <c r="J573" s="9"/>
      <c r="K573" s="10" t="str">
        <f aca="false">IF(H573*J573=0,"",H573*J573)</f>
        <v/>
      </c>
      <c r="L573" s="11"/>
      <c r="M573" s="11"/>
      <c r="N573" s="10" t="str">
        <f aca="false">IF(L573+M573=0,"",L573+M573)</f>
        <v/>
      </c>
      <c r="O573" s="12" t="str">
        <f aca="false">IF(OR(H573="",I573="",J573=""),"",IF(F573="Long",(I573-H573)*J573*IF(G573="",1,G573),(H573-I573)*J573*IF(G573="",1,G573)))</f>
        <v/>
      </c>
      <c r="P573" s="13" t="str">
        <f aca="false">IF(O573="","",O573-IF(N573="",0,N573))</f>
        <v/>
      </c>
      <c r="Q573" s="14" t="str">
        <f aca="false">IFERROR(IF(P573="","",P573/K573),"")</f>
        <v/>
      </c>
      <c r="R573" s="6"/>
      <c r="S573" s="5"/>
      <c r="T573" s="15"/>
    </row>
    <row r="574" customFormat="false" ht="18" hidden="false" customHeight="true" outlineLevel="0" collapsed="false">
      <c r="A574" s="16" t="str">
        <f aca="false">IF(B574&lt;&gt;"",ROW()-2,"")</f>
        <v/>
      </c>
      <c r="B574" s="17"/>
      <c r="C574" s="17"/>
      <c r="D574" s="18"/>
      <c r="E574" s="19"/>
      <c r="F574" s="18"/>
      <c r="G574" s="20"/>
      <c r="H574" s="21"/>
      <c r="I574" s="21"/>
      <c r="J574" s="22"/>
      <c r="K574" s="23" t="str">
        <f aca="false">IF(H574*J574=0,"",H574*J574)</f>
        <v/>
      </c>
      <c r="L574" s="24"/>
      <c r="M574" s="24"/>
      <c r="N574" s="23" t="str">
        <f aca="false">IF(L574+M574=0,"",L574+M574)</f>
        <v/>
      </c>
      <c r="O574" s="25" t="str">
        <f aca="false">IF(OR(H574="",I574="",J574=""),"",IF(F574="Long",(I574-H574)*J574*IF(G574="",1,G574),(H574-I574)*J574*IF(G574="",1,G574)))</f>
        <v/>
      </c>
      <c r="P574" s="26" t="str">
        <f aca="false">IF(O574="","",O574-IF(N574="",0,N574))</f>
        <v/>
      </c>
      <c r="Q574" s="27" t="str">
        <f aca="false">IFERROR(IF(P574="","",P574/K574),"")</f>
        <v/>
      </c>
      <c r="R574" s="19"/>
      <c r="S574" s="18"/>
      <c r="T574" s="28"/>
    </row>
    <row r="575" customFormat="false" ht="18" hidden="false" customHeight="true" outlineLevel="0" collapsed="false">
      <c r="A575" s="3" t="str">
        <f aca="false">IF(B575&lt;&gt;"",ROW()-2,"")</f>
        <v/>
      </c>
      <c r="B575" s="4"/>
      <c r="C575" s="4"/>
      <c r="D575" s="5"/>
      <c r="E575" s="6"/>
      <c r="F575" s="5"/>
      <c r="G575" s="7"/>
      <c r="H575" s="8"/>
      <c r="I575" s="8"/>
      <c r="J575" s="9"/>
      <c r="K575" s="10" t="str">
        <f aca="false">IF(H575*J575=0,"",H575*J575)</f>
        <v/>
      </c>
      <c r="L575" s="11"/>
      <c r="M575" s="11"/>
      <c r="N575" s="10" t="str">
        <f aca="false">IF(L575+M575=0,"",L575+M575)</f>
        <v/>
      </c>
      <c r="O575" s="12" t="str">
        <f aca="false">IF(OR(H575="",I575="",J575=""),"",IF(F575="Long",(I575-H575)*J575*IF(G575="",1,G575),(H575-I575)*J575*IF(G575="",1,G575)))</f>
        <v/>
      </c>
      <c r="P575" s="13" t="str">
        <f aca="false">IF(O575="","",O575-IF(N575="",0,N575))</f>
        <v/>
      </c>
      <c r="Q575" s="14" t="str">
        <f aca="false">IFERROR(IF(P575="","",P575/K575),"")</f>
        <v/>
      </c>
      <c r="R575" s="6"/>
      <c r="S575" s="5"/>
      <c r="T575" s="15"/>
    </row>
    <row r="576" customFormat="false" ht="18" hidden="false" customHeight="true" outlineLevel="0" collapsed="false">
      <c r="A576" s="16" t="str">
        <f aca="false">IF(B576&lt;&gt;"",ROW()-2,"")</f>
        <v/>
      </c>
      <c r="B576" s="17"/>
      <c r="C576" s="17"/>
      <c r="D576" s="18"/>
      <c r="E576" s="19"/>
      <c r="F576" s="18"/>
      <c r="G576" s="20"/>
      <c r="H576" s="21"/>
      <c r="I576" s="21"/>
      <c r="J576" s="22"/>
      <c r="K576" s="23" t="str">
        <f aca="false">IF(H576*J576=0,"",H576*J576)</f>
        <v/>
      </c>
      <c r="L576" s="24"/>
      <c r="M576" s="24"/>
      <c r="N576" s="23" t="str">
        <f aca="false">IF(L576+M576=0,"",L576+M576)</f>
        <v/>
      </c>
      <c r="O576" s="25" t="str">
        <f aca="false">IF(OR(H576="",I576="",J576=""),"",IF(F576="Long",(I576-H576)*J576*IF(G576="",1,G576),(H576-I576)*J576*IF(G576="",1,G576)))</f>
        <v/>
      </c>
      <c r="P576" s="26" t="str">
        <f aca="false">IF(O576="","",O576-IF(N576="",0,N576))</f>
        <v/>
      </c>
      <c r="Q576" s="27" t="str">
        <f aca="false">IFERROR(IF(P576="","",P576/K576),"")</f>
        <v/>
      </c>
      <c r="R576" s="19"/>
      <c r="S576" s="18"/>
      <c r="T576" s="28"/>
    </row>
    <row r="577" customFormat="false" ht="18" hidden="false" customHeight="true" outlineLevel="0" collapsed="false">
      <c r="A577" s="3" t="str">
        <f aca="false">IF(B577&lt;&gt;"",ROW()-2,"")</f>
        <v/>
      </c>
      <c r="B577" s="4"/>
      <c r="C577" s="4"/>
      <c r="D577" s="5"/>
      <c r="E577" s="6"/>
      <c r="F577" s="5"/>
      <c r="G577" s="7"/>
      <c r="H577" s="8"/>
      <c r="I577" s="8"/>
      <c r="J577" s="9"/>
      <c r="K577" s="10" t="str">
        <f aca="false">IF(H577*J577=0,"",H577*J577)</f>
        <v/>
      </c>
      <c r="L577" s="11"/>
      <c r="M577" s="11"/>
      <c r="N577" s="10" t="str">
        <f aca="false">IF(L577+M577=0,"",L577+M577)</f>
        <v/>
      </c>
      <c r="O577" s="12" t="str">
        <f aca="false">IF(OR(H577="",I577="",J577=""),"",IF(F577="Long",(I577-H577)*J577*IF(G577="",1,G577),(H577-I577)*J577*IF(G577="",1,G577)))</f>
        <v/>
      </c>
      <c r="P577" s="13" t="str">
        <f aca="false">IF(O577="","",O577-IF(N577="",0,N577))</f>
        <v/>
      </c>
      <c r="Q577" s="14" t="str">
        <f aca="false">IFERROR(IF(P577="","",P577/K577),"")</f>
        <v/>
      </c>
      <c r="R577" s="6"/>
      <c r="S577" s="5"/>
      <c r="T577" s="15"/>
    </row>
    <row r="578" customFormat="false" ht="18" hidden="false" customHeight="true" outlineLevel="0" collapsed="false">
      <c r="A578" s="16" t="str">
        <f aca="false">IF(B578&lt;&gt;"",ROW()-2,"")</f>
        <v/>
      </c>
      <c r="B578" s="17"/>
      <c r="C578" s="17"/>
      <c r="D578" s="18"/>
      <c r="E578" s="19"/>
      <c r="F578" s="18"/>
      <c r="G578" s="20"/>
      <c r="H578" s="21"/>
      <c r="I578" s="21"/>
      <c r="J578" s="22"/>
      <c r="K578" s="23" t="str">
        <f aca="false">IF(H578*J578=0,"",H578*J578)</f>
        <v/>
      </c>
      <c r="L578" s="24"/>
      <c r="M578" s="24"/>
      <c r="N578" s="23" t="str">
        <f aca="false">IF(L578+M578=0,"",L578+M578)</f>
        <v/>
      </c>
      <c r="O578" s="25" t="str">
        <f aca="false">IF(OR(H578="",I578="",J578=""),"",IF(F578="Long",(I578-H578)*J578*IF(G578="",1,G578),(H578-I578)*J578*IF(G578="",1,G578)))</f>
        <v/>
      </c>
      <c r="P578" s="26" t="str">
        <f aca="false">IF(O578="","",O578-IF(N578="",0,N578))</f>
        <v/>
      </c>
      <c r="Q578" s="27" t="str">
        <f aca="false">IFERROR(IF(P578="","",P578/K578),"")</f>
        <v/>
      </c>
      <c r="R578" s="19"/>
      <c r="S578" s="18"/>
      <c r="T578" s="28"/>
    </row>
    <row r="579" customFormat="false" ht="18" hidden="false" customHeight="true" outlineLevel="0" collapsed="false">
      <c r="A579" s="3" t="str">
        <f aca="false">IF(B579&lt;&gt;"",ROW()-2,"")</f>
        <v/>
      </c>
      <c r="B579" s="4"/>
      <c r="C579" s="4"/>
      <c r="D579" s="5"/>
      <c r="E579" s="6"/>
      <c r="F579" s="5"/>
      <c r="G579" s="7"/>
      <c r="H579" s="8"/>
      <c r="I579" s="8"/>
      <c r="J579" s="9"/>
      <c r="K579" s="10" t="str">
        <f aca="false">IF(H579*J579=0,"",H579*J579)</f>
        <v/>
      </c>
      <c r="L579" s="11"/>
      <c r="M579" s="11"/>
      <c r="N579" s="10" t="str">
        <f aca="false">IF(L579+M579=0,"",L579+M579)</f>
        <v/>
      </c>
      <c r="O579" s="12" t="str">
        <f aca="false">IF(OR(H579="",I579="",J579=""),"",IF(F579="Long",(I579-H579)*J579*IF(G579="",1,G579),(H579-I579)*J579*IF(G579="",1,G579)))</f>
        <v/>
      </c>
      <c r="P579" s="13" t="str">
        <f aca="false">IF(O579="","",O579-IF(N579="",0,N579))</f>
        <v/>
      </c>
      <c r="Q579" s="14" t="str">
        <f aca="false">IFERROR(IF(P579="","",P579/K579),"")</f>
        <v/>
      </c>
      <c r="R579" s="6"/>
      <c r="S579" s="5"/>
      <c r="T579" s="15"/>
    </row>
    <row r="580" customFormat="false" ht="18" hidden="false" customHeight="true" outlineLevel="0" collapsed="false">
      <c r="A580" s="16" t="str">
        <f aca="false">IF(B580&lt;&gt;"",ROW()-2,"")</f>
        <v/>
      </c>
      <c r="B580" s="17"/>
      <c r="C580" s="17"/>
      <c r="D580" s="18"/>
      <c r="E580" s="19"/>
      <c r="F580" s="18"/>
      <c r="G580" s="20"/>
      <c r="H580" s="21"/>
      <c r="I580" s="21"/>
      <c r="J580" s="22"/>
      <c r="K580" s="23" t="str">
        <f aca="false">IF(H580*J580=0,"",H580*J580)</f>
        <v/>
      </c>
      <c r="L580" s="24"/>
      <c r="M580" s="24"/>
      <c r="N580" s="23" t="str">
        <f aca="false">IF(L580+M580=0,"",L580+M580)</f>
        <v/>
      </c>
      <c r="O580" s="25" t="str">
        <f aca="false">IF(OR(H580="",I580="",J580=""),"",IF(F580="Long",(I580-H580)*J580*IF(G580="",1,G580),(H580-I580)*J580*IF(G580="",1,G580)))</f>
        <v/>
      </c>
      <c r="P580" s="26" t="str">
        <f aca="false">IF(O580="","",O580-IF(N580="",0,N580))</f>
        <v/>
      </c>
      <c r="Q580" s="27" t="str">
        <f aca="false">IFERROR(IF(P580="","",P580/K580),"")</f>
        <v/>
      </c>
      <c r="R580" s="19"/>
      <c r="S580" s="18"/>
      <c r="T580" s="28"/>
    </row>
    <row r="581" customFormat="false" ht="18" hidden="false" customHeight="true" outlineLevel="0" collapsed="false">
      <c r="A581" s="3" t="str">
        <f aca="false">IF(B581&lt;&gt;"",ROW()-2,"")</f>
        <v/>
      </c>
      <c r="B581" s="4"/>
      <c r="C581" s="4"/>
      <c r="D581" s="5"/>
      <c r="E581" s="6"/>
      <c r="F581" s="5"/>
      <c r="G581" s="7"/>
      <c r="H581" s="8"/>
      <c r="I581" s="8"/>
      <c r="J581" s="9"/>
      <c r="K581" s="10" t="str">
        <f aca="false">IF(H581*J581=0,"",H581*J581)</f>
        <v/>
      </c>
      <c r="L581" s="11"/>
      <c r="M581" s="11"/>
      <c r="N581" s="10" t="str">
        <f aca="false">IF(L581+M581=0,"",L581+M581)</f>
        <v/>
      </c>
      <c r="O581" s="12" t="str">
        <f aca="false">IF(OR(H581="",I581="",J581=""),"",IF(F581="Long",(I581-H581)*J581*IF(G581="",1,G581),(H581-I581)*J581*IF(G581="",1,G581)))</f>
        <v/>
      </c>
      <c r="P581" s="13" t="str">
        <f aca="false">IF(O581="","",O581-IF(N581="",0,N581))</f>
        <v/>
      </c>
      <c r="Q581" s="14" t="str">
        <f aca="false">IFERROR(IF(P581="","",P581/K581),"")</f>
        <v/>
      </c>
      <c r="R581" s="6"/>
      <c r="S581" s="5"/>
      <c r="T581" s="15"/>
    </row>
    <row r="582" customFormat="false" ht="18" hidden="false" customHeight="true" outlineLevel="0" collapsed="false">
      <c r="A582" s="16" t="str">
        <f aca="false">IF(B582&lt;&gt;"",ROW()-2,"")</f>
        <v/>
      </c>
      <c r="B582" s="17"/>
      <c r="C582" s="17"/>
      <c r="D582" s="18"/>
      <c r="E582" s="19"/>
      <c r="F582" s="18"/>
      <c r="G582" s="20"/>
      <c r="H582" s="21"/>
      <c r="I582" s="21"/>
      <c r="J582" s="22"/>
      <c r="K582" s="23" t="str">
        <f aca="false">IF(H582*J582=0,"",H582*J582)</f>
        <v/>
      </c>
      <c r="L582" s="24"/>
      <c r="M582" s="24"/>
      <c r="N582" s="23" t="str">
        <f aca="false">IF(L582+M582=0,"",L582+M582)</f>
        <v/>
      </c>
      <c r="O582" s="25" t="str">
        <f aca="false">IF(OR(H582="",I582="",J582=""),"",IF(F582="Long",(I582-H582)*J582*IF(G582="",1,G582),(H582-I582)*J582*IF(G582="",1,G582)))</f>
        <v/>
      </c>
      <c r="P582" s="26" t="str">
        <f aca="false">IF(O582="","",O582-IF(N582="",0,N582))</f>
        <v/>
      </c>
      <c r="Q582" s="27" t="str">
        <f aca="false">IFERROR(IF(P582="","",P582/K582),"")</f>
        <v/>
      </c>
      <c r="R582" s="19"/>
      <c r="S582" s="18"/>
      <c r="T582" s="28"/>
    </row>
    <row r="583" customFormat="false" ht="18" hidden="false" customHeight="true" outlineLevel="0" collapsed="false">
      <c r="A583" s="3" t="str">
        <f aca="false">IF(B583&lt;&gt;"",ROW()-2,"")</f>
        <v/>
      </c>
      <c r="B583" s="4"/>
      <c r="C583" s="4"/>
      <c r="D583" s="5"/>
      <c r="E583" s="6"/>
      <c r="F583" s="5"/>
      <c r="G583" s="7"/>
      <c r="H583" s="8"/>
      <c r="I583" s="8"/>
      <c r="J583" s="9"/>
      <c r="K583" s="10" t="str">
        <f aca="false">IF(H583*J583=0,"",H583*J583)</f>
        <v/>
      </c>
      <c r="L583" s="11"/>
      <c r="M583" s="11"/>
      <c r="N583" s="10" t="str">
        <f aca="false">IF(L583+M583=0,"",L583+M583)</f>
        <v/>
      </c>
      <c r="O583" s="12" t="str">
        <f aca="false">IF(OR(H583="",I583="",J583=""),"",IF(F583="Long",(I583-H583)*J583*IF(G583="",1,G583),(H583-I583)*J583*IF(G583="",1,G583)))</f>
        <v/>
      </c>
      <c r="P583" s="13" t="str">
        <f aca="false">IF(O583="","",O583-IF(N583="",0,N583))</f>
        <v/>
      </c>
      <c r="Q583" s="14" t="str">
        <f aca="false">IFERROR(IF(P583="","",P583/K583),"")</f>
        <v/>
      </c>
      <c r="R583" s="6"/>
      <c r="S583" s="5"/>
      <c r="T583" s="15"/>
    </row>
    <row r="584" customFormat="false" ht="18" hidden="false" customHeight="true" outlineLevel="0" collapsed="false">
      <c r="A584" s="16" t="str">
        <f aca="false">IF(B584&lt;&gt;"",ROW()-2,"")</f>
        <v/>
      </c>
      <c r="B584" s="17"/>
      <c r="C584" s="17"/>
      <c r="D584" s="18"/>
      <c r="E584" s="19"/>
      <c r="F584" s="18"/>
      <c r="G584" s="20"/>
      <c r="H584" s="21"/>
      <c r="I584" s="21"/>
      <c r="J584" s="22"/>
      <c r="K584" s="23" t="str">
        <f aca="false">IF(H584*J584=0,"",H584*J584)</f>
        <v/>
      </c>
      <c r="L584" s="24"/>
      <c r="M584" s="24"/>
      <c r="N584" s="23" t="str">
        <f aca="false">IF(L584+M584=0,"",L584+M584)</f>
        <v/>
      </c>
      <c r="O584" s="25" t="str">
        <f aca="false">IF(OR(H584="",I584="",J584=""),"",IF(F584="Long",(I584-H584)*J584*IF(G584="",1,G584),(H584-I584)*J584*IF(G584="",1,G584)))</f>
        <v/>
      </c>
      <c r="P584" s="26" t="str">
        <f aca="false">IF(O584="","",O584-IF(N584="",0,N584))</f>
        <v/>
      </c>
      <c r="Q584" s="27" t="str">
        <f aca="false">IFERROR(IF(P584="","",P584/K584),"")</f>
        <v/>
      </c>
      <c r="R584" s="19"/>
      <c r="S584" s="18"/>
      <c r="T584" s="28"/>
    </row>
    <row r="585" customFormat="false" ht="18" hidden="false" customHeight="true" outlineLevel="0" collapsed="false">
      <c r="A585" s="3" t="str">
        <f aca="false">IF(B585&lt;&gt;"",ROW()-2,"")</f>
        <v/>
      </c>
      <c r="B585" s="4"/>
      <c r="C585" s="4"/>
      <c r="D585" s="5"/>
      <c r="E585" s="6"/>
      <c r="F585" s="5"/>
      <c r="G585" s="7"/>
      <c r="H585" s="8"/>
      <c r="I585" s="8"/>
      <c r="J585" s="9"/>
      <c r="K585" s="10" t="str">
        <f aca="false">IF(H585*J585=0,"",H585*J585)</f>
        <v/>
      </c>
      <c r="L585" s="11"/>
      <c r="M585" s="11"/>
      <c r="N585" s="10" t="str">
        <f aca="false">IF(L585+M585=0,"",L585+M585)</f>
        <v/>
      </c>
      <c r="O585" s="12" t="str">
        <f aca="false">IF(OR(H585="",I585="",J585=""),"",IF(F585="Long",(I585-H585)*J585*IF(G585="",1,G585),(H585-I585)*J585*IF(G585="",1,G585)))</f>
        <v/>
      </c>
      <c r="P585" s="13" t="str">
        <f aca="false">IF(O585="","",O585-IF(N585="",0,N585))</f>
        <v/>
      </c>
      <c r="Q585" s="14" t="str">
        <f aca="false">IFERROR(IF(P585="","",P585/K585),"")</f>
        <v/>
      </c>
      <c r="R585" s="6"/>
      <c r="S585" s="5"/>
      <c r="T585" s="15"/>
    </row>
    <row r="586" customFormat="false" ht="18" hidden="false" customHeight="true" outlineLevel="0" collapsed="false">
      <c r="A586" s="16" t="str">
        <f aca="false">IF(B586&lt;&gt;"",ROW()-2,"")</f>
        <v/>
      </c>
      <c r="B586" s="17"/>
      <c r="C586" s="17"/>
      <c r="D586" s="18"/>
      <c r="E586" s="19"/>
      <c r="F586" s="18"/>
      <c r="G586" s="20"/>
      <c r="H586" s="21"/>
      <c r="I586" s="21"/>
      <c r="J586" s="22"/>
      <c r="K586" s="23" t="str">
        <f aca="false">IF(H586*J586=0,"",H586*J586)</f>
        <v/>
      </c>
      <c r="L586" s="24"/>
      <c r="M586" s="24"/>
      <c r="N586" s="23" t="str">
        <f aca="false">IF(L586+M586=0,"",L586+M586)</f>
        <v/>
      </c>
      <c r="O586" s="25" t="str">
        <f aca="false">IF(OR(H586="",I586="",J586=""),"",IF(F586="Long",(I586-H586)*J586*IF(G586="",1,G586),(H586-I586)*J586*IF(G586="",1,G586)))</f>
        <v/>
      </c>
      <c r="P586" s="26" t="str">
        <f aca="false">IF(O586="","",O586-IF(N586="",0,N586))</f>
        <v/>
      </c>
      <c r="Q586" s="27" t="str">
        <f aca="false">IFERROR(IF(P586="","",P586/K586),"")</f>
        <v/>
      </c>
      <c r="R586" s="19"/>
      <c r="S586" s="18"/>
      <c r="T586" s="28"/>
    </row>
    <row r="587" customFormat="false" ht="18" hidden="false" customHeight="true" outlineLevel="0" collapsed="false">
      <c r="A587" s="3" t="str">
        <f aca="false">IF(B587&lt;&gt;"",ROW()-2,"")</f>
        <v/>
      </c>
      <c r="B587" s="4"/>
      <c r="C587" s="4"/>
      <c r="D587" s="5"/>
      <c r="E587" s="6"/>
      <c r="F587" s="5"/>
      <c r="G587" s="7"/>
      <c r="H587" s="8"/>
      <c r="I587" s="8"/>
      <c r="J587" s="9"/>
      <c r="K587" s="10" t="str">
        <f aca="false">IF(H587*J587=0,"",H587*J587)</f>
        <v/>
      </c>
      <c r="L587" s="11"/>
      <c r="M587" s="11"/>
      <c r="N587" s="10" t="str">
        <f aca="false">IF(L587+M587=0,"",L587+M587)</f>
        <v/>
      </c>
      <c r="O587" s="12" t="str">
        <f aca="false">IF(OR(H587="",I587="",J587=""),"",IF(F587="Long",(I587-H587)*J587*IF(G587="",1,G587),(H587-I587)*J587*IF(G587="",1,G587)))</f>
        <v/>
      </c>
      <c r="P587" s="13" t="str">
        <f aca="false">IF(O587="","",O587-IF(N587="",0,N587))</f>
        <v/>
      </c>
      <c r="Q587" s="14" t="str">
        <f aca="false">IFERROR(IF(P587="","",P587/K587),"")</f>
        <v/>
      </c>
      <c r="R587" s="6"/>
      <c r="S587" s="5"/>
      <c r="T587" s="15"/>
    </row>
    <row r="588" customFormat="false" ht="18" hidden="false" customHeight="true" outlineLevel="0" collapsed="false">
      <c r="A588" s="16" t="str">
        <f aca="false">IF(B588&lt;&gt;"",ROW()-2,"")</f>
        <v/>
      </c>
      <c r="B588" s="17"/>
      <c r="C588" s="17"/>
      <c r="D588" s="18"/>
      <c r="E588" s="19"/>
      <c r="F588" s="18"/>
      <c r="G588" s="20"/>
      <c r="H588" s="21"/>
      <c r="I588" s="21"/>
      <c r="J588" s="22"/>
      <c r="K588" s="23" t="str">
        <f aca="false">IF(H588*J588=0,"",H588*J588)</f>
        <v/>
      </c>
      <c r="L588" s="24"/>
      <c r="M588" s="24"/>
      <c r="N588" s="23" t="str">
        <f aca="false">IF(L588+M588=0,"",L588+M588)</f>
        <v/>
      </c>
      <c r="O588" s="25" t="str">
        <f aca="false">IF(OR(H588="",I588="",J588=""),"",IF(F588="Long",(I588-H588)*J588*IF(G588="",1,G588),(H588-I588)*J588*IF(G588="",1,G588)))</f>
        <v/>
      </c>
      <c r="P588" s="26" t="str">
        <f aca="false">IF(O588="","",O588-IF(N588="",0,N588))</f>
        <v/>
      </c>
      <c r="Q588" s="27" t="str">
        <f aca="false">IFERROR(IF(P588="","",P588/K588),"")</f>
        <v/>
      </c>
      <c r="R588" s="19"/>
      <c r="S588" s="18"/>
      <c r="T588" s="28"/>
    </row>
    <row r="589" customFormat="false" ht="18" hidden="false" customHeight="true" outlineLevel="0" collapsed="false">
      <c r="A589" s="3" t="str">
        <f aca="false">IF(B589&lt;&gt;"",ROW()-2,"")</f>
        <v/>
      </c>
      <c r="B589" s="4"/>
      <c r="C589" s="4"/>
      <c r="D589" s="5"/>
      <c r="E589" s="6"/>
      <c r="F589" s="5"/>
      <c r="G589" s="7"/>
      <c r="H589" s="8"/>
      <c r="I589" s="8"/>
      <c r="J589" s="9"/>
      <c r="K589" s="10" t="str">
        <f aca="false">IF(H589*J589=0,"",H589*J589)</f>
        <v/>
      </c>
      <c r="L589" s="11"/>
      <c r="M589" s="11"/>
      <c r="N589" s="10" t="str">
        <f aca="false">IF(L589+M589=0,"",L589+M589)</f>
        <v/>
      </c>
      <c r="O589" s="12" t="str">
        <f aca="false">IF(OR(H589="",I589="",J589=""),"",IF(F589="Long",(I589-H589)*J589*IF(G589="",1,G589),(H589-I589)*J589*IF(G589="",1,G589)))</f>
        <v/>
      </c>
      <c r="P589" s="13" t="str">
        <f aca="false">IF(O589="","",O589-IF(N589="",0,N589))</f>
        <v/>
      </c>
      <c r="Q589" s="14" t="str">
        <f aca="false">IFERROR(IF(P589="","",P589/K589),"")</f>
        <v/>
      </c>
      <c r="R589" s="6"/>
      <c r="S589" s="5"/>
      <c r="T589" s="15"/>
    </row>
    <row r="590" customFormat="false" ht="18" hidden="false" customHeight="true" outlineLevel="0" collapsed="false">
      <c r="A590" s="16" t="str">
        <f aca="false">IF(B590&lt;&gt;"",ROW()-2,"")</f>
        <v/>
      </c>
      <c r="B590" s="17"/>
      <c r="C590" s="17"/>
      <c r="D590" s="18"/>
      <c r="E590" s="19"/>
      <c r="F590" s="18"/>
      <c r="G590" s="20"/>
      <c r="H590" s="21"/>
      <c r="I590" s="21"/>
      <c r="J590" s="22"/>
      <c r="K590" s="23" t="str">
        <f aca="false">IF(H590*J590=0,"",H590*J590)</f>
        <v/>
      </c>
      <c r="L590" s="24"/>
      <c r="M590" s="24"/>
      <c r="N590" s="23" t="str">
        <f aca="false">IF(L590+M590=0,"",L590+M590)</f>
        <v/>
      </c>
      <c r="O590" s="25" t="str">
        <f aca="false">IF(OR(H590="",I590="",J590=""),"",IF(F590="Long",(I590-H590)*J590*IF(G590="",1,G590),(H590-I590)*J590*IF(G590="",1,G590)))</f>
        <v/>
      </c>
      <c r="P590" s="26" t="str">
        <f aca="false">IF(O590="","",O590-IF(N590="",0,N590))</f>
        <v/>
      </c>
      <c r="Q590" s="27" t="str">
        <f aca="false">IFERROR(IF(P590="","",P590/K590),"")</f>
        <v/>
      </c>
      <c r="R590" s="19"/>
      <c r="S590" s="18"/>
      <c r="T590" s="28"/>
    </row>
    <row r="591" customFormat="false" ht="18" hidden="false" customHeight="true" outlineLevel="0" collapsed="false">
      <c r="A591" s="3" t="str">
        <f aca="false">IF(B591&lt;&gt;"",ROW()-2,"")</f>
        <v/>
      </c>
      <c r="B591" s="4"/>
      <c r="C591" s="4"/>
      <c r="D591" s="5"/>
      <c r="E591" s="6"/>
      <c r="F591" s="5"/>
      <c r="G591" s="7"/>
      <c r="H591" s="8"/>
      <c r="I591" s="8"/>
      <c r="J591" s="9"/>
      <c r="K591" s="10" t="str">
        <f aca="false">IF(H591*J591=0,"",H591*J591)</f>
        <v/>
      </c>
      <c r="L591" s="11"/>
      <c r="M591" s="11"/>
      <c r="N591" s="10" t="str">
        <f aca="false">IF(L591+M591=0,"",L591+M591)</f>
        <v/>
      </c>
      <c r="O591" s="12" t="str">
        <f aca="false">IF(OR(H591="",I591="",J591=""),"",IF(F591="Long",(I591-H591)*J591*IF(G591="",1,G591),(H591-I591)*J591*IF(G591="",1,G591)))</f>
        <v/>
      </c>
      <c r="P591" s="13" t="str">
        <f aca="false">IF(O591="","",O591-IF(N591="",0,N591))</f>
        <v/>
      </c>
      <c r="Q591" s="14" t="str">
        <f aca="false">IFERROR(IF(P591="","",P591/K591),"")</f>
        <v/>
      </c>
      <c r="R591" s="6"/>
      <c r="S591" s="5"/>
      <c r="T591" s="15"/>
    </row>
    <row r="592" customFormat="false" ht="18" hidden="false" customHeight="true" outlineLevel="0" collapsed="false">
      <c r="A592" s="16" t="str">
        <f aca="false">IF(B592&lt;&gt;"",ROW()-2,"")</f>
        <v/>
      </c>
      <c r="B592" s="17"/>
      <c r="C592" s="17"/>
      <c r="D592" s="18"/>
      <c r="E592" s="19"/>
      <c r="F592" s="18"/>
      <c r="G592" s="20"/>
      <c r="H592" s="21"/>
      <c r="I592" s="21"/>
      <c r="J592" s="22"/>
      <c r="K592" s="23" t="str">
        <f aca="false">IF(H592*J592=0,"",H592*J592)</f>
        <v/>
      </c>
      <c r="L592" s="24"/>
      <c r="M592" s="24"/>
      <c r="N592" s="23" t="str">
        <f aca="false">IF(L592+M592=0,"",L592+M592)</f>
        <v/>
      </c>
      <c r="O592" s="25" t="str">
        <f aca="false">IF(OR(H592="",I592="",J592=""),"",IF(F592="Long",(I592-H592)*J592*IF(G592="",1,G592),(H592-I592)*J592*IF(G592="",1,G592)))</f>
        <v/>
      </c>
      <c r="P592" s="26" t="str">
        <f aca="false">IF(O592="","",O592-IF(N592="",0,N592))</f>
        <v/>
      </c>
      <c r="Q592" s="27" t="str">
        <f aca="false">IFERROR(IF(P592="","",P592/K592),"")</f>
        <v/>
      </c>
      <c r="R592" s="19"/>
      <c r="S592" s="18"/>
      <c r="T592" s="28"/>
    </row>
    <row r="593" customFormat="false" ht="18" hidden="false" customHeight="true" outlineLevel="0" collapsed="false">
      <c r="A593" s="3" t="str">
        <f aca="false">IF(B593&lt;&gt;"",ROW()-2,"")</f>
        <v/>
      </c>
      <c r="B593" s="4"/>
      <c r="C593" s="4"/>
      <c r="D593" s="5"/>
      <c r="E593" s="6"/>
      <c r="F593" s="5"/>
      <c r="G593" s="7"/>
      <c r="H593" s="8"/>
      <c r="I593" s="8"/>
      <c r="J593" s="9"/>
      <c r="K593" s="10" t="str">
        <f aca="false">IF(H593*J593=0,"",H593*J593)</f>
        <v/>
      </c>
      <c r="L593" s="11"/>
      <c r="M593" s="11"/>
      <c r="N593" s="10" t="str">
        <f aca="false">IF(L593+M593=0,"",L593+M593)</f>
        <v/>
      </c>
      <c r="O593" s="12" t="str">
        <f aca="false">IF(OR(H593="",I593="",J593=""),"",IF(F593="Long",(I593-H593)*J593*IF(G593="",1,G593),(H593-I593)*J593*IF(G593="",1,G593)))</f>
        <v/>
      </c>
      <c r="P593" s="13" t="str">
        <f aca="false">IF(O593="","",O593-IF(N593="",0,N593))</f>
        <v/>
      </c>
      <c r="Q593" s="14" t="str">
        <f aca="false">IFERROR(IF(P593="","",P593/K593),"")</f>
        <v/>
      </c>
      <c r="R593" s="6"/>
      <c r="S593" s="5"/>
      <c r="T593" s="15"/>
    </row>
    <row r="594" customFormat="false" ht="18" hidden="false" customHeight="true" outlineLevel="0" collapsed="false">
      <c r="A594" s="16" t="str">
        <f aca="false">IF(B594&lt;&gt;"",ROW()-2,"")</f>
        <v/>
      </c>
      <c r="B594" s="17"/>
      <c r="C594" s="17"/>
      <c r="D594" s="18"/>
      <c r="E594" s="19"/>
      <c r="F594" s="18"/>
      <c r="G594" s="20"/>
      <c r="H594" s="21"/>
      <c r="I594" s="21"/>
      <c r="J594" s="22"/>
      <c r="K594" s="23" t="str">
        <f aca="false">IF(H594*J594=0,"",H594*J594)</f>
        <v/>
      </c>
      <c r="L594" s="24"/>
      <c r="M594" s="24"/>
      <c r="N594" s="23" t="str">
        <f aca="false">IF(L594+M594=0,"",L594+M594)</f>
        <v/>
      </c>
      <c r="O594" s="25" t="str">
        <f aca="false">IF(OR(H594="",I594="",J594=""),"",IF(F594="Long",(I594-H594)*J594*IF(G594="",1,G594),(H594-I594)*J594*IF(G594="",1,G594)))</f>
        <v/>
      </c>
      <c r="P594" s="26" t="str">
        <f aca="false">IF(O594="","",O594-IF(N594="",0,N594))</f>
        <v/>
      </c>
      <c r="Q594" s="27" t="str">
        <f aca="false">IFERROR(IF(P594="","",P594/K594),"")</f>
        <v/>
      </c>
      <c r="R594" s="19"/>
      <c r="S594" s="18"/>
      <c r="T594" s="28"/>
    </row>
    <row r="595" customFormat="false" ht="18" hidden="false" customHeight="true" outlineLevel="0" collapsed="false">
      <c r="A595" s="3" t="str">
        <f aca="false">IF(B595&lt;&gt;"",ROW()-2,"")</f>
        <v/>
      </c>
      <c r="B595" s="4"/>
      <c r="C595" s="4"/>
      <c r="D595" s="5"/>
      <c r="E595" s="6"/>
      <c r="F595" s="5"/>
      <c r="G595" s="7"/>
      <c r="H595" s="8"/>
      <c r="I595" s="8"/>
      <c r="J595" s="9"/>
      <c r="K595" s="10" t="str">
        <f aca="false">IF(H595*J595=0,"",H595*J595)</f>
        <v/>
      </c>
      <c r="L595" s="11"/>
      <c r="M595" s="11"/>
      <c r="N595" s="10" t="str">
        <f aca="false">IF(L595+M595=0,"",L595+M595)</f>
        <v/>
      </c>
      <c r="O595" s="12" t="str">
        <f aca="false">IF(OR(H595="",I595="",J595=""),"",IF(F595="Long",(I595-H595)*J595*IF(G595="",1,G595),(H595-I595)*J595*IF(G595="",1,G595)))</f>
        <v/>
      </c>
      <c r="P595" s="13" t="str">
        <f aca="false">IF(O595="","",O595-IF(N595="",0,N595))</f>
        <v/>
      </c>
      <c r="Q595" s="14" t="str">
        <f aca="false">IFERROR(IF(P595="","",P595/K595),"")</f>
        <v/>
      </c>
      <c r="R595" s="6"/>
      <c r="S595" s="5"/>
      <c r="T595" s="15"/>
    </row>
    <row r="596" customFormat="false" ht="18" hidden="false" customHeight="true" outlineLevel="0" collapsed="false">
      <c r="A596" s="16" t="str">
        <f aca="false">IF(B596&lt;&gt;"",ROW()-2,"")</f>
        <v/>
      </c>
      <c r="B596" s="17"/>
      <c r="C596" s="17"/>
      <c r="D596" s="18"/>
      <c r="E596" s="19"/>
      <c r="F596" s="18"/>
      <c r="G596" s="20"/>
      <c r="H596" s="21"/>
      <c r="I596" s="21"/>
      <c r="J596" s="22"/>
      <c r="K596" s="23" t="str">
        <f aca="false">IF(H596*J596=0,"",H596*J596)</f>
        <v/>
      </c>
      <c r="L596" s="24"/>
      <c r="M596" s="24"/>
      <c r="N596" s="23" t="str">
        <f aca="false">IF(L596+M596=0,"",L596+M596)</f>
        <v/>
      </c>
      <c r="O596" s="25" t="str">
        <f aca="false">IF(OR(H596="",I596="",J596=""),"",IF(F596="Long",(I596-H596)*J596*IF(G596="",1,G596),(H596-I596)*J596*IF(G596="",1,G596)))</f>
        <v/>
      </c>
      <c r="P596" s="26" t="str">
        <f aca="false">IF(O596="","",O596-IF(N596="",0,N596))</f>
        <v/>
      </c>
      <c r="Q596" s="27" t="str">
        <f aca="false">IFERROR(IF(P596="","",P596/K596),"")</f>
        <v/>
      </c>
      <c r="R596" s="19"/>
      <c r="S596" s="18"/>
      <c r="T596" s="28"/>
    </row>
    <row r="597" customFormat="false" ht="18" hidden="false" customHeight="true" outlineLevel="0" collapsed="false">
      <c r="A597" s="3" t="str">
        <f aca="false">IF(B597&lt;&gt;"",ROW()-2,"")</f>
        <v/>
      </c>
      <c r="B597" s="4"/>
      <c r="C597" s="4"/>
      <c r="D597" s="5"/>
      <c r="E597" s="6"/>
      <c r="F597" s="5"/>
      <c r="G597" s="7"/>
      <c r="H597" s="8"/>
      <c r="I597" s="8"/>
      <c r="J597" s="9"/>
      <c r="K597" s="10" t="str">
        <f aca="false">IF(H597*J597=0,"",H597*J597)</f>
        <v/>
      </c>
      <c r="L597" s="11"/>
      <c r="M597" s="11"/>
      <c r="N597" s="10" t="str">
        <f aca="false">IF(L597+M597=0,"",L597+M597)</f>
        <v/>
      </c>
      <c r="O597" s="12" t="str">
        <f aca="false">IF(OR(H597="",I597="",J597=""),"",IF(F597="Long",(I597-H597)*J597*IF(G597="",1,G597),(H597-I597)*J597*IF(G597="",1,G597)))</f>
        <v/>
      </c>
      <c r="P597" s="13" t="str">
        <f aca="false">IF(O597="","",O597-IF(N597="",0,N597))</f>
        <v/>
      </c>
      <c r="Q597" s="14" t="str">
        <f aca="false">IFERROR(IF(P597="","",P597/K597),"")</f>
        <v/>
      </c>
      <c r="R597" s="6"/>
      <c r="S597" s="5"/>
      <c r="T597" s="15"/>
    </row>
    <row r="598" customFormat="false" ht="18" hidden="false" customHeight="true" outlineLevel="0" collapsed="false">
      <c r="A598" s="16" t="str">
        <f aca="false">IF(B598&lt;&gt;"",ROW()-2,"")</f>
        <v/>
      </c>
      <c r="B598" s="17"/>
      <c r="C598" s="17"/>
      <c r="D598" s="18"/>
      <c r="E598" s="19"/>
      <c r="F598" s="18"/>
      <c r="G598" s="20"/>
      <c r="H598" s="21"/>
      <c r="I598" s="21"/>
      <c r="J598" s="22"/>
      <c r="K598" s="23" t="str">
        <f aca="false">IF(H598*J598=0,"",H598*J598)</f>
        <v/>
      </c>
      <c r="L598" s="24"/>
      <c r="M598" s="24"/>
      <c r="N598" s="23" t="str">
        <f aca="false">IF(L598+M598=0,"",L598+M598)</f>
        <v/>
      </c>
      <c r="O598" s="25" t="str">
        <f aca="false">IF(OR(H598="",I598="",J598=""),"",IF(F598="Long",(I598-H598)*J598*IF(G598="",1,G598),(H598-I598)*J598*IF(G598="",1,G598)))</f>
        <v/>
      </c>
      <c r="P598" s="26" t="str">
        <f aca="false">IF(O598="","",O598-IF(N598="",0,N598))</f>
        <v/>
      </c>
      <c r="Q598" s="27" t="str">
        <f aca="false">IFERROR(IF(P598="","",P598/K598),"")</f>
        <v/>
      </c>
      <c r="R598" s="19"/>
      <c r="S598" s="18"/>
      <c r="T598" s="28"/>
    </row>
    <row r="599" customFormat="false" ht="18" hidden="false" customHeight="true" outlineLevel="0" collapsed="false">
      <c r="A599" s="3" t="str">
        <f aca="false">IF(B599&lt;&gt;"",ROW()-2,"")</f>
        <v/>
      </c>
      <c r="B599" s="4"/>
      <c r="C599" s="4"/>
      <c r="D599" s="5"/>
      <c r="E599" s="6"/>
      <c r="F599" s="5"/>
      <c r="G599" s="7"/>
      <c r="H599" s="8"/>
      <c r="I599" s="8"/>
      <c r="J599" s="9"/>
      <c r="K599" s="10" t="str">
        <f aca="false">IF(H599*J599=0,"",H599*J599)</f>
        <v/>
      </c>
      <c r="L599" s="11"/>
      <c r="M599" s="11"/>
      <c r="N599" s="10" t="str">
        <f aca="false">IF(L599+M599=0,"",L599+M599)</f>
        <v/>
      </c>
      <c r="O599" s="12" t="str">
        <f aca="false">IF(OR(H599="",I599="",J599=""),"",IF(F599="Long",(I599-H599)*J599*IF(G599="",1,G599),(H599-I599)*J599*IF(G599="",1,G599)))</f>
        <v/>
      </c>
      <c r="P599" s="13" t="str">
        <f aca="false">IF(O599="","",O599-IF(N599="",0,N599))</f>
        <v/>
      </c>
      <c r="Q599" s="14" t="str">
        <f aca="false">IFERROR(IF(P599="","",P599/K599),"")</f>
        <v/>
      </c>
      <c r="R599" s="6"/>
      <c r="S599" s="5"/>
      <c r="T599" s="15"/>
    </row>
    <row r="600" customFormat="false" ht="18" hidden="false" customHeight="true" outlineLevel="0" collapsed="false">
      <c r="A600" s="16" t="str">
        <f aca="false">IF(B600&lt;&gt;"",ROW()-2,"")</f>
        <v/>
      </c>
      <c r="B600" s="17"/>
      <c r="C600" s="17"/>
      <c r="D600" s="18"/>
      <c r="E600" s="19"/>
      <c r="F600" s="18"/>
      <c r="G600" s="20"/>
      <c r="H600" s="21"/>
      <c r="I600" s="21"/>
      <c r="J600" s="22"/>
      <c r="K600" s="23" t="str">
        <f aca="false">IF(H600*J600=0,"",H600*J600)</f>
        <v/>
      </c>
      <c r="L600" s="24"/>
      <c r="M600" s="24"/>
      <c r="N600" s="23" t="str">
        <f aca="false">IF(L600+M600=0,"",L600+M600)</f>
        <v/>
      </c>
      <c r="O600" s="25" t="str">
        <f aca="false">IF(OR(H600="",I600="",J600=""),"",IF(F600="Long",(I600-H600)*J600*IF(G600="",1,G600),(H600-I600)*J600*IF(G600="",1,G600)))</f>
        <v/>
      </c>
      <c r="P600" s="26" t="str">
        <f aca="false">IF(O600="","",O600-IF(N600="",0,N600))</f>
        <v/>
      </c>
      <c r="Q600" s="27" t="str">
        <f aca="false">IFERROR(IF(P600="","",P600/K600),"")</f>
        <v/>
      </c>
      <c r="R600" s="19"/>
      <c r="S600" s="18"/>
      <c r="T600" s="28"/>
    </row>
    <row r="601" customFormat="false" ht="18" hidden="false" customHeight="true" outlineLevel="0" collapsed="false">
      <c r="A601" s="3" t="str">
        <f aca="false">IF(B601&lt;&gt;"",ROW()-2,"")</f>
        <v/>
      </c>
      <c r="B601" s="4"/>
      <c r="C601" s="4"/>
      <c r="D601" s="5"/>
      <c r="E601" s="6"/>
      <c r="F601" s="5"/>
      <c r="G601" s="7"/>
      <c r="H601" s="8"/>
      <c r="I601" s="8"/>
      <c r="J601" s="9"/>
      <c r="K601" s="10" t="str">
        <f aca="false">IF(H601*J601=0,"",H601*J601)</f>
        <v/>
      </c>
      <c r="L601" s="11"/>
      <c r="M601" s="11"/>
      <c r="N601" s="10" t="str">
        <f aca="false">IF(L601+M601=0,"",L601+M601)</f>
        <v/>
      </c>
      <c r="O601" s="12" t="str">
        <f aca="false">IF(OR(H601="",I601="",J601=""),"",IF(F601="Long",(I601-H601)*J601*IF(G601="",1,G601),(H601-I601)*J601*IF(G601="",1,G601)))</f>
        <v/>
      </c>
      <c r="P601" s="13" t="str">
        <f aca="false">IF(O601="","",O601-IF(N601="",0,N601))</f>
        <v/>
      </c>
      <c r="Q601" s="14" t="str">
        <f aca="false">IFERROR(IF(P601="","",P601/K601),"")</f>
        <v/>
      </c>
      <c r="R601" s="6"/>
      <c r="S601" s="5"/>
      <c r="T601" s="15"/>
    </row>
    <row r="602" customFormat="false" ht="18" hidden="false" customHeight="true" outlineLevel="0" collapsed="false">
      <c r="A602" s="16" t="str">
        <f aca="false">IF(B602&lt;&gt;"",ROW()-2,"")</f>
        <v/>
      </c>
      <c r="B602" s="17"/>
      <c r="C602" s="17"/>
      <c r="D602" s="18"/>
      <c r="E602" s="19"/>
      <c r="F602" s="18"/>
      <c r="G602" s="20"/>
      <c r="H602" s="21"/>
      <c r="I602" s="21"/>
      <c r="J602" s="22"/>
      <c r="K602" s="23" t="str">
        <f aca="false">IF(H602*J602=0,"",H602*J602)</f>
        <v/>
      </c>
      <c r="L602" s="24"/>
      <c r="M602" s="24"/>
      <c r="N602" s="23" t="str">
        <f aca="false">IF(L602+M602=0,"",L602+M602)</f>
        <v/>
      </c>
      <c r="O602" s="25" t="str">
        <f aca="false">IF(OR(H602="",I602="",J602=""),"",IF(F602="Long",(I602-H602)*J602*IF(G602="",1,G602),(H602-I602)*J602*IF(G602="",1,G602)))</f>
        <v/>
      </c>
      <c r="P602" s="26" t="str">
        <f aca="false">IF(O602="","",O602-IF(N602="",0,N602))</f>
        <v/>
      </c>
      <c r="Q602" s="27" t="str">
        <f aca="false">IFERROR(IF(P602="","",P602/K602),"")</f>
        <v/>
      </c>
      <c r="R602" s="19"/>
      <c r="S602" s="18"/>
      <c r="T602" s="28"/>
    </row>
    <row r="603" customFormat="false" ht="18" hidden="false" customHeight="true" outlineLevel="0" collapsed="false">
      <c r="A603" s="3" t="str">
        <f aca="false">IF(B603&lt;&gt;"",ROW()-2,"")</f>
        <v/>
      </c>
      <c r="B603" s="4"/>
      <c r="C603" s="4"/>
      <c r="D603" s="5"/>
      <c r="E603" s="6"/>
      <c r="F603" s="5"/>
      <c r="G603" s="7"/>
      <c r="H603" s="8"/>
      <c r="I603" s="8"/>
      <c r="J603" s="9"/>
      <c r="K603" s="10" t="str">
        <f aca="false">IF(H603*J603=0,"",H603*J603)</f>
        <v/>
      </c>
      <c r="L603" s="11"/>
      <c r="M603" s="11"/>
      <c r="N603" s="10" t="str">
        <f aca="false">IF(L603+M603=0,"",L603+M603)</f>
        <v/>
      </c>
      <c r="O603" s="12" t="str">
        <f aca="false">IF(OR(H603="",I603="",J603=""),"",IF(F603="Long",(I603-H603)*J603*IF(G603="",1,G603),(H603-I603)*J603*IF(G603="",1,G603)))</f>
        <v/>
      </c>
      <c r="P603" s="13" t="str">
        <f aca="false">IF(O603="","",O603-IF(N603="",0,N603))</f>
        <v/>
      </c>
      <c r="Q603" s="14" t="str">
        <f aca="false">IFERROR(IF(P603="","",P603/K603),"")</f>
        <v/>
      </c>
      <c r="R603" s="6"/>
      <c r="S603" s="5"/>
      <c r="T603" s="15"/>
    </row>
    <row r="604" customFormat="false" ht="18" hidden="false" customHeight="true" outlineLevel="0" collapsed="false">
      <c r="A604" s="16" t="str">
        <f aca="false">IF(B604&lt;&gt;"",ROW()-2,"")</f>
        <v/>
      </c>
      <c r="B604" s="17"/>
      <c r="C604" s="17"/>
      <c r="D604" s="18"/>
      <c r="E604" s="19"/>
      <c r="F604" s="18"/>
      <c r="G604" s="20"/>
      <c r="H604" s="21"/>
      <c r="I604" s="21"/>
      <c r="J604" s="22"/>
      <c r="K604" s="23" t="str">
        <f aca="false">IF(H604*J604=0,"",H604*J604)</f>
        <v/>
      </c>
      <c r="L604" s="24"/>
      <c r="M604" s="24"/>
      <c r="N604" s="23" t="str">
        <f aca="false">IF(L604+M604=0,"",L604+M604)</f>
        <v/>
      </c>
      <c r="O604" s="25" t="str">
        <f aca="false">IF(OR(H604="",I604="",J604=""),"",IF(F604="Long",(I604-H604)*J604*IF(G604="",1,G604),(H604-I604)*J604*IF(G604="",1,G604)))</f>
        <v/>
      </c>
      <c r="P604" s="26" t="str">
        <f aca="false">IF(O604="","",O604-IF(N604="",0,N604))</f>
        <v/>
      </c>
      <c r="Q604" s="27" t="str">
        <f aca="false">IFERROR(IF(P604="","",P604/K604),"")</f>
        <v/>
      </c>
      <c r="R604" s="19"/>
      <c r="S604" s="18"/>
      <c r="T604" s="28"/>
    </row>
    <row r="605" customFormat="false" ht="18" hidden="false" customHeight="true" outlineLevel="0" collapsed="false">
      <c r="A605" s="3" t="str">
        <f aca="false">IF(B605&lt;&gt;"",ROW()-2,"")</f>
        <v/>
      </c>
      <c r="B605" s="4"/>
      <c r="C605" s="4"/>
      <c r="D605" s="5"/>
      <c r="E605" s="6"/>
      <c r="F605" s="5"/>
      <c r="G605" s="7"/>
      <c r="H605" s="8"/>
      <c r="I605" s="8"/>
      <c r="J605" s="9"/>
      <c r="K605" s="10" t="str">
        <f aca="false">IF(H605*J605=0,"",H605*J605)</f>
        <v/>
      </c>
      <c r="L605" s="11"/>
      <c r="M605" s="11"/>
      <c r="N605" s="10" t="str">
        <f aca="false">IF(L605+M605=0,"",L605+M605)</f>
        <v/>
      </c>
      <c r="O605" s="12" t="str">
        <f aca="false">IF(OR(H605="",I605="",J605=""),"",IF(F605="Long",(I605-H605)*J605*IF(G605="",1,G605),(H605-I605)*J605*IF(G605="",1,G605)))</f>
        <v/>
      </c>
      <c r="P605" s="13" t="str">
        <f aca="false">IF(O605="","",O605-IF(N605="",0,N605))</f>
        <v/>
      </c>
      <c r="Q605" s="14" t="str">
        <f aca="false">IFERROR(IF(P605="","",P605/K605),"")</f>
        <v/>
      </c>
      <c r="R605" s="6"/>
      <c r="S605" s="5"/>
      <c r="T605" s="15"/>
    </row>
    <row r="606" customFormat="false" ht="18" hidden="false" customHeight="true" outlineLevel="0" collapsed="false">
      <c r="A606" s="16" t="str">
        <f aca="false">IF(B606&lt;&gt;"",ROW()-2,"")</f>
        <v/>
      </c>
      <c r="B606" s="17"/>
      <c r="C606" s="17"/>
      <c r="D606" s="18"/>
      <c r="E606" s="19"/>
      <c r="F606" s="18"/>
      <c r="G606" s="20"/>
      <c r="H606" s="21"/>
      <c r="I606" s="21"/>
      <c r="J606" s="22"/>
      <c r="K606" s="23" t="str">
        <f aca="false">IF(H606*J606=0,"",H606*J606)</f>
        <v/>
      </c>
      <c r="L606" s="24"/>
      <c r="M606" s="24"/>
      <c r="N606" s="23" t="str">
        <f aca="false">IF(L606+M606=0,"",L606+M606)</f>
        <v/>
      </c>
      <c r="O606" s="25" t="str">
        <f aca="false">IF(OR(H606="",I606="",J606=""),"",IF(F606="Long",(I606-H606)*J606*IF(G606="",1,G606),(H606-I606)*J606*IF(G606="",1,G606)))</f>
        <v/>
      </c>
      <c r="P606" s="26" t="str">
        <f aca="false">IF(O606="","",O606-IF(N606="",0,N606))</f>
        <v/>
      </c>
      <c r="Q606" s="27" t="str">
        <f aca="false">IFERROR(IF(P606="","",P606/K606),"")</f>
        <v/>
      </c>
      <c r="R606" s="19"/>
      <c r="S606" s="18"/>
      <c r="T606" s="28"/>
    </row>
    <row r="607" customFormat="false" ht="18" hidden="false" customHeight="true" outlineLevel="0" collapsed="false">
      <c r="A607" s="3" t="str">
        <f aca="false">IF(B607&lt;&gt;"",ROW()-2,"")</f>
        <v/>
      </c>
      <c r="B607" s="4"/>
      <c r="C607" s="4"/>
      <c r="D607" s="5"/>
      <c r="E607" s="6"/>
      <c r="F607" s="5"/>
      <c r="G607" s="7"/>
      <c r="H607" s="8"/>
      <c r="I607" s="8"/>
      <c r="J607" s="9"/>
      <c r="K607" s="10" t="str">
        <f aca="false">IF(H607*J607=0,"",H607*J607)</f>
        <v/>
      </c>
      <c r="L607" s="11"/>
      <c r="M607" s="11"/>
      <c r="N607" s="10" t="str">
        <f aca="false">IF(L607+M607=0,"",L607+M607)</f>
        <v/>
      </c>
      <c r="O607" s="12" t="str">
        <f aca="false">IF(OR(H607="",I607="",J607=""),"",IF(F607="Long",(I607-H607)*J607*IF(G607="",1,G607),(H607-I607)*J607*IF(G607="",1,G607)))</f>
        <v/>
      </c>
      <c r="P607" s="13" t="str">
        <f aca="false">IF(O607="","",O607-IF(N607="",0,N607))</f>
        <v/>
      </c>
      <c r="Q607" s="14" t="str">
        <f aca="false">IFERROR(IF(P607="","",P607/K607),"")</f>
        <v/>
      </c>
      <c r="R607" s="6"/>
      <c r="S607" s="5"/>
      <c r="T607" s="15"/>
    </row>
    <row r="608" customFormat="false" ht="18" hidden="false" customHeight="true" outlineLevel="0" collapsed="false">
      <c r="A608" s="16" t="str">
        <f aca="false">IF(B608&lt;&gt;"",ROW()-2,"")</f>
        <v/>
      </c>
      <c r="B608" s="17"/>
      <c r="C608" s="17"/>
      <c r="D608" s="18"/>
      <c r="E608" s="19"/>
      <c r="F608" s="18"/>
      <c r="G608" s="20"/>
      <c r="H608" s="21"/>
      <c r="I608" s="21"/>
      <c r="J608" s="22"/>
      <c r="K608" s="23" t="str">
        <f aca="false">IF(H608*J608=0,"",H608*J608)</f>
        <v/>
      </c>
      <c r="L608" s="24"/>
      <c r="M608" s="24"/>
      <c r="N608" s="23" t="str">
        <f aca="false">IF(L608+M608=0,"",L608+M608)</f>
        <v/>
      </c>
      <c r="O608" s="25" t="str">
        <f aca="false">IF(OR(H608="",I608="",J608=""),"",IF(F608="Long",(I608-H608)*J608*IF(G608="",1,G608),(H608-I608)*J608*IF(G608="",1,G608)))</f>
        <v/>
      </c>
      <c r="P608" s="26" t="str">
        <f aca="false">IF(O608="","",O608-IF(N608="",0,N608))</f>
        <v/>
      </c>
      <c r="Q608" s="27" t="str">
        <f aca="false">IFERROR(IF(P608="","",P608/K608),"")</f>
        <v/>
      </c>
      <c r="R608" s="19"/>
      <c r="S608" s="18"/>
      <c r="T608" s="28"/>
    </row>
    <row r="609" customFormat="false" ht="18" hidden="false" customHeight="true" outlineLevel="0" collapsed="false">
      <c r="A609" s="3" t="str">
        <f aca="false">IF(B609&lt;&gt;"",ROW()-2,"")</f>
        <v/>
      </c>
      <c r="B609" s="4"/>
      <c r="C609" s="4"/>
      <c r="D609" s="5"/>
      <c r="E609" s="6"/>
      <c r="F609" s="5"/>
      <c r="G609" s="7"/>
      <c r="H609" s="8"/>
      <c r="I609" s="8"/>
      <c r="J609" s="9"/>
      <c r="K609" s="10" t="str">
        <f aca="false">IF(H609*J609=0,"",H609*J609)</f>
        <v/>
      </c>
      <c r="L609" s="11"/>
      <c r="M609" s="11"/>
      <c r="N609" s="10" t="str">
        <f aca="false">IF(L609+M609=0,"",L609+M609)</f>
        <v/>
      </c>
      <c r="O609" s="12" t="str">
        <f aca="false">IF(OR(H609="",I609="",J609=""),"",IF(F609="Long",(I609-H609)*J609*IF(G609="",1,G609),(H609-I609)*J609*IF(G609="",1,G609)))</f>
        <v/>
      </c>
      <c r="P609" s="13" t="str">
        <f aca="false">IF(O609="","",O609-IF(N609="",0,N609))</f>
        <v/>
      </c>
      <c r="Q609" s="14" t="str">
        <f aca="false">IFERROR(IF(P609="","",P609/K609),"")</f>
        <v/>
      </c>
      <c r="R609" s="6"/>
      <c r="S609" s="5"/>
      <c r="T609" s="15"/>
    </row>
    <row r="610" customFormat="false" ht="18" hidden="false" customHeight="true" outlineLevel="0" collapsed="false">
      <c r="A610" s="16" t="str">
        <f aca="false">IF(B610&lt;&gt;"",ROW()-2,"")</f>
        <v/>
      </c>
      <c r="B610" s="17"/>
      <c r="C610" s="17"/>
      <c r="D610" s="18"/>
      <c r="E610" s="19"/>
      <c r="F610" s="18"/>
      <c r="G610" s="20"/>
      <c r="H610" s="21"/>
      <c r="I610" s="21"/>
      <c r="J610" s="22"/>
      <c r="K610" s="23" t="str">
        <f aca="false">IF(H610*J610=0,"",H610*J610)</f>
        <v/>
      </c>
      <c r="L610" s="24"/>
      <c r="M610" s="24"/>
      <c r="N610" s="23" t="str">
        <f aca="false">IF(L610+M610=0,"",L610+M610)</f>
        <v/>
      </c>
      <c r="O610" s="25" t="str">
        <f aca="false">IF(OR(H610="",I610="",J610=""),"",IF(F610="Long",(I610-H610)*J610*IF(G610="",1,G610),(H610-I610)*J610*IF(G610="",1,G610)))</f>
        <v/>
      </c>
      <c r="P610" s="26" t="str">
        <f aca="false">IF(O610="","",O610-IF(N610="",0,N610))</f>
        <v/>
      </c>
      <c r="Q610" s="27" t="str">
        <f aca="false">IFERROR(IF(P610="","",P610/K610),"")</f>
        <v/>
      </c>
      <c r="R610" s="19"/>
      <c r="S610" s="18"/>
      <c r="T610" s="28"/>
    </row>
    <row r="611" customFormat="false" ht="18" hidden="false" customHeight="true" outlineLevel="0" collapsed="false">
      <c r="A611" s="3" t="str">
        <f aca="false">IF(B611&lt;&gt;"",ROW()-2,"")</f>
        <v/>
      </c>
      <c r="B611" s="4"/>
      <c r="C611" s="4"/>
      <c r="D611" s="5"/>
      <c r="E611" s="6"/>
      <c r="F611" s="5"/>
      <c r="G611" s="7"/>
      <c r="H611" s="8"/>
      <c r="I611" s="8"/>
      <c r="J611" s="9"/>
      <c r="K611" s="10" t="str">
        <f aca="false">IF(H611*J611=0,"",H611*J611)</f>
        <v/>
      </c>
      <c r="L611" s="11"/>
      <c r="M611" s="11"/>
      <c r="N611" s="10" t="str">
        <f aca="false">IF(L611+M611=0,"",L611+M611)</f>
        <v/>
      </c>
      <c r="O611" s="12" t="str">
        <f aca="false">IF(OR(H611="",I611="",J611=""),"",IF(F611="Long",(I611-H611)*J611*IF(G611="",1,G611),(H611-I611)*J611*IF(G611="",1,G611)))</f>
        <v/>
      </c>
      <c r="P611" s="13" t="str">
        <f aca="false">IF(O611="","",O611-IF(N611="",0,N611))</f>
        <v/>
      </c>
      <c r="Q611" s="14" t="str">
        <f aca="false">IFERROR(IF(P611="","",P611/K611),"")</f>
        <v/>
      </c>
      <c r="R611" s="6"/>
      <c r="S611" s="5"/>
      <c r="T611" s="15"/>
    </row>
    <row r="612" customFormat="false" ht="18" hidden="false" customHeight="true" outlineLevel="0" collapsed="false">
      <c r="A612" s="16" t="str">
        <f aca="false">IF(B612&lt;&gt;"",ROW()-2,"")</f>
        <v/>
      </c>
      <c r="B612" s="17"/>
      <c r="C612" s="17"/>
      <c r="D612" s="18"/>
      <c r="E612" s="19"/>
      <c r="F612" s="18"/>
      <c r="G612" s="20"/>
      <c r="H612" s="21"/>
      <c r="I612" s="21"/>
      <c r="J612" s="22"/>
      <c r="K612" s="23" t="str">
        <f aca="false">IF(H612*J612=0,"",H612*J612)</f>
        <v/>
      </c>
      <c r="L612" s="24"/>
      <c r="M612" s="24"/>
      <c r="N612" s="23" t="str">
        <f aca="false">IF(L612+M612=0,"",L612+M612)</f>
        <v/>
      </c>
      <c r="O612" s="25" t="str">
        <f aca="false">IF(OR(H612="",I612="",J612=""),"",IF(F612="Long",(I612-H612)*J612*IF(G612="",1,G612),(H612-I612)*J612*IF(G612="",1,G612)))</f>
        <v/>
      </c>
      <c r="P612" s="26" t="str">
        <f aca="false">IF(O612="","",O612-IF(N612="",0,N612))</f>
        <v/>
      </c>
      <c r="Q612" s="27" t="str">
        <f aca="false">IFERROR(IF(P612="","",P612/K612),"")</f>
        <v/>
      </c>
      <c r="R612" s="19"/>
      <c r="S612" s="18"/>
      <c r="T612" s="28"/>
    </row>
    <row r="613" customFormat="false" ht="18" hidden="false" customHeight="true" outlineLevel="0" collapsed="false">
      <c r="A613" s="3" t="str">
        <f aca="false">IF(B613&lt;&gt;"",ROW()-2,"")</f>
        <v/>
      </c>
      <c r="B613" s="4"/>
      <c r="C613" s="4"/>
      <c r="D613" s="5"/>
      <c r="E613" s="6"/>
      <c r="F613" s="5"/>
      <c r="G613" s="7"/>
      <c r="H613" s="8"/>
      <c r="I613" s="8"/>
      <c r="J613" s="9"/>
      <c r="K613" s="10" t="str">
        <f aca="false">IF(H613*J613=0,"",H613*J613)</f>
        <v/>
      </c>
      <c r="L613" s="11"/>
      <c r="M613" s="11"/>
      <c r="N613" s="10" t="str">
        <f aca="false">IF(L613+M613=0,"",L613+M613)</f>
        <v/>
      </c>
      <c r="O613" s="12" t="str">
        <f aca="false">IF(OR(H613="",I613="",J613=""),"",IF(F613="Long",(I613-H613)*J613*IF(G613="",1,G613),(H613-I613)*J613*IF(G613="",1,G613)))</f>
        <v/>
      </c>
      <c r="P613" s="13" t="str">
        <f aca="false">IF(O613="","",O613-IF(N613="",0,N613))</f>
        <v/>
      </c>
      <c r="Q613" s="14" t="str">
        <f aca="false">IFERROR(IF(P613="","",P613/K613),"")</f>
        <v/>
      </c>
      <c r="R613" s="6"/>
      <c r="S613" s="5"/>
      <c r="T613" s="15"/>
    </row>
    <row r="614" customFormat="false" ht="18" hidden="false" customHeight="true" outlineLevel="0" collapsed="false">
      <c r="A614" s="16" t="str">
        <f aca="false">IF(B614&lt;&gt;"",ROW()-2,"")</f>
        <v/>
      </c>
      <c r="B614" s="17"/>
      <c r="C614" s="17"/>
      <c r="D614" s="18"/>
      <c r="E614" s="19"/>
      <c r="F614" s="18"/>
      <c r="G614" s="20"/>
      <c r="H614" s="21"/>
      <c r="I614" s="21"/>
      <c r="J614" s="22"/>
      <c r="K614" s="23" t="str">
        <f aca="false">IF(H614*J614=0,"",H614*J614)</f>
        <v/>
      </c>
      <c r="L614" s="24"/>
      <c r="M614" s="24"/>
      <c r="N614" s="23" t="str">
        <f aca="false">IF(L614+M614=0,"",L614+M614)</f>
        <v/>
      </c>
      <c r="O614" s="25" t="str">
        <f aca="false">IF(OR(H614="",I614="",J614=""),"",IF(F614="Long",(I614-H614)*J614*IF(G614="",1,G614),(H614-I614)*J614*IF(G614="",1,G614)))</f>
        <v/>
      </c>
      <c r="P614" s="26" t="str">
        <f aca="false">IF(O614="","",O614-IF(N614="",0,N614))</f>
        <v/>
      </c>
      <c r="Q614" s="27" t="str">
        <f aca="false">IFERROR(IF(P614="","",P614/K614),"")</f>
        <v/>
      </c>
      <c r="R614" s="19"/>
      <c r="S614" s="18"/>
      <c r="T614" s="28"/>
    </row>
    <row r="615" customFormat="false" ht="18" hidden="false" customHeight="true" outlineLevel="0" collapsed="false">
      <c r="A615" s="3" t="str">
        <f aca="false">IF(B615&lt;&gt;"",ROW()-2,"")</f>
        <v/>
      </c>
      <c r="B615" s="4"/>
      <c r="C615" s="4"/>
      <c r="D615" s="5"/>
      <c r="E615" s="6"/>
      <c r="F615" s="5"/>
      <c r="G615" s="7"/>
      <c r="H615" s="8"/>
      <c r="I615" s="8"/>
      <c r="J615" s="9"/>
      <c r="K615" s="10" t="str">
        <f aca="false">IF(H615*J615=0,"",H615*J615)</f>
        <v/>
      </c>
      <c r="L615" s="11"/>
      <c r="M615" s="11"/>
      <c r="N615" s="10" t="str">
        <f aca="false">IF(L615+M615=0,"",L615+M615)</f>
        <v/>
      </c>
      <c r="O615" s="12" t="str">
        <f aca="false">IF(OR(H615="",I615="",J615=""),"",IF(F615="Long",(I615-H615)*J615*IF(G615="",1,G615),(H615-I615)*J615*IF(G615="",1,G615)))</f>
        <v/>
      </c>
      <c r="P615" s="13" t="str">
        <f aca="false">IF(O615="","",O615-IF(N615="",0,N615))</f>
        <v/>
      </c>
      <c r="Q615" s="14" t="str">
        <f aca="false">IFERROR(IF(P615="","",P615/K615),"")</f>
        <v/>
      </c>
      <c r="R615" s="6"/>
      <c r="S615" s="5"/>
      <c r="T615" s="15"/>
    </row>
    <row r="616" customFormat="false" ht="18" hidden="false" customHeight="true" outlineLevel="0" collapsed="false">
      <c r="A616" s="16" t="str">
        <f aca="false">IF(B616&lt;&gt;"",ROW()-2,"")</f>
        <v/>
      </c>
      <c r="B616" s="17"/>
      <c r="C616" s="17"/>
      <c r="D616" s="18"/>
      <c r="E616" s="19"/>
      <c r="F616" s="18"/>
      <c r="G616" s="20"/>
      <c r="H616" s="21"/>
      <c r="I616" s="21"/>
      <c r="J616" s="22"/>
      <c r="K616" s="23" t="str">
        <f aca="false">IF(H616*J616=0,"",H616*J616)</f>
        <v/>
      </c>
      <c r="L616" s="24"/>
      <c r="M616" s="24"/>
      <c r="N616" s="23" t="str">
        <f aca="false">IF(L616+M616=0,"",L616+M616)</f>
        <v/>
      </c>
      <c r="O616" s="25" t="str">
        <f aca="false">IF(OR(H616="",I616="",J616=""),"",IF(F616="Long",(I616-H616)*J616*IF(G616="",1,G616),(H616-I616)*J616*IF(G616="",1,G616)))</f>
        <v/>
      </c>
      <c r="P616" s="26" t="str">
        <f aca="false">IF(O616="","",O616-IF(N616="",0,N616))</f>
        <v/>
      </c>
      <c r="Q616" s="27" t="str">
        <f aca="false">IFERROR(IF(P616="","",P616/K616),"")</f>
        <v/>
      </c>
      <c r="R616" s="19"/>
      <c r="S616" s="18"/>
      <c r="T616" s="28"/>
    </row>
    <row r="617" customFormat="false" ht="18" hidden="false" customHeight="true" outlineLevel="0" collapsed="false">
      <c r="A617" s="3" t="str">
        <f aca="false">IF(B617&lt;&gt;"",ROW()-2,"")</f>
        <v/>
      </c>
      <c r="B617" s="4"/>
      <c r="C617" s="4"/>
      <c r="D617" s="5"/>
      <c r="E617" s="6"/>
      <c r="F617" s="5"/>
      <c r="G617" s="7"/>
      <c r="H617" s="8"/>
      <c r="I617" s="8"/>
      <c r="J617" s="9"/>
      <c r="K617" s="10" t="str">
        <f aca="false">IF(H617*J617=0,"",H617*J617)</f>
        <v/>
      </c>
      <c r="L617" s="11"/>
      <c r="M617" s="11"/>
      <c r="N617" s="10" t="str">
        <f aca="false">IF(L617+M617=0,"",L617+M617)</f>
        <v/>
      </c>
      <c r="O617" s="12" t="str">
        <f aca="false">IF(OR(H617="",I617="",J617=""),"",IF(F617="Long",(I617-H617)*J617*IF(G617="",1,G617),(H617-I617)*J617*IF(G617="",1,G617)))</f>
        <v/>
      </c>
      <c r="P617" s="13" t="str">
        <f aca="false">IF(O617="","",O617-IF(N617="",0,N617))</f>
        <v/>
      </c>
      <c r="Q617" s="14" t="str">
        <f aca="false">IFERROR(IF(P617="","",P617/K617),"")</f>
        <v/>
      </c>
      <c r="R617" s="6"/>
      <c r="S617" s="5"/>
      <c r="T617" s="15"/>
    </row>
    <row r="618" customFormat="false" ht="18" hidden="false" customHeight="true" outlineLevel="0" collapsed="false">
      <c r="A618" s="16" t="str">
        <f aca="false">IF(B618&lt;&gt;"",ROW()-2,"")</f>
        <v/>
      </c>
      <c r="B618" s="17"/>
      <c r="C618" s="17"/>
      <c r="D618" s="18"/>
      <c r="E618" s="19"/>
      <c r="F618" s="18"/>
      <c r="G618" s="20"/>
      <c r="H618" s="21"/>
      <c r="I618" s="21"/>
      <c r="J618" s="22"/>
      <c r="K618" s="23" t="str">
        <f aca="false">IF(H618*J618=0,"",H618*J618)</f>
        <v/>
      </c>
      <c r="L618" s="24"/>
      <c r="M618" s="24"/>
      <c r="N618" s="23" t="str">
        <f aca="false">IF(L618+M618=0,"",L618+M618)</f>
        <v/>
      </c>
      <c r="O618" s="25" t="str">
        <f aca="false">IF(OR(H618="",I618="",J618=""),"",IF(F618="Long",(I618-H618)*J618*IF(G618="",1,G618),(H618-I618)*J618*IF(G618="",1,G618)))</f>
        <v/>
      </c>
      <c r="P618" s="26" t="str">
        <f aca="false">IF(O618="","",O618-IF(N618="",0,N618))</f>
        <v/>
      </c>
      <c r="Q618" s="27" t="str">
        <f aca="false">IFERROR(IF(P618="","",P618/K618),"")</f>
        <v/>
      </c>
      <c r="R618" s="19"/>
      <c r="S618" s="18"/>
      <c r="T618" s="28"/>
    </row>
    <row r="619" customFormat="false" ht="18" hidden="false" customHeight="true" outlineLevel="0" collapsed="false">
      <c r="A619" s="3" t="str">
        <f aca="false">IF(B619&lt;&gt;"",ROW()-2,"")</f>
        <v/>
      </c>
      <c r="B619" s="4"/>
      <c r="C619" s="4"/>
      <c r="D619" s="5"/>
      <c r="E619" s="6"/>
      <c r="F619" s="5"/>
      <c r="G619" s="7"/>
      <c r="H619" s="8"/>
      <c r="I619" s="8"/>
      <c r="J619" s="9"/>
      <c r="K619" s="10" t="str">
        <f aca="false">IF(H619*J619=0,"",H619*J619)</f>
        <v/>
      </c>
      <c r="L619" s="11"/>
      <c r="M619" s="11"/>
      <c r="N619" s="10" t="str">
        <f aca="false">IF(L619+M619=0,"",L619+M619)</f>
        <v/>
      </c>
      <c r="O619" s="12" t="str">
        <f aca="false">IF(OR(H619="",I619="",J619=""),"",IF(F619="Long",(I619-H619)*J619*IF(G619="",1,G619),(H619-I619)*J619*IF(G619="",1,G619)))</f>
        <v/>
      </c>
      <c r="P619" s="13" t="str">
        <f aca="false">IF(O619="","",O619-IF(N619="",0,N619))</f>
        <v/>
      </c>
      <c r="Q619" s="14" t="str">
        <f aca="false">IFERROR(IF(P619="","",P619/K619),"")</f>
        <v/>
      </c>
      <c r="R619" s="6"/>
      <c r="S619" s="5"/>
      <c r="T619" s="15"/>
    </row>
    <row r="620" customFormat="false" ht="18" hidden="false" customHeight="true" outlineLevel="0" collapsed="false">
      <c r="A620" s="16" t="str">
        <f aca="false">IF(B620&lt;&gt;"",ROW()-2,"")</f>
        <v/>
      </c>
      <c r="B620" s="17"/>
      <c r="C620" s="17"/>
      <c r="D620" s="18"/>
      <c r="E620" s="19"/>
      <c r="F620" s="18"/>
      <c r="G620" s="20"/>
      <c r="H620" s="21"/>
      <c r="I620" s="21"/>
      <c r="J620" s="22"/>
      <c r="K620" s="23" t="str">
        <f aca="false">IF(H620*J620=0,"",H620*J620)</f>
        <v/>
      </c>
      <c r="L620" s="24"/>
      <c r="M620" s="24"/>
      <c r="N620" s="23" t="str">
        <f aca="false">IF(L620+M620=0,"",L620+M620)</f>
        <v/>
      </c>
      <c r="O620" s="25" t="str">
        <f aca="false">IF(OR(H620="",I620="",J620=""),"",IF(F620="Long",(I620-H620)*J620*IF(G620="",1,G620),(H620-I620)*J620*IF(G620="",1,G620)))</f>
        <v/>
      </c>
      <c r="P620" s="26" t="str">
        <f aca="false">IF(O620="","",O620-IF(N620="",0,N620))</f>
        <v/>
      </c>
      <c r="Q620" s="27" t="str">
        <f aca="false">IFERROR(IF(P620="","",P620/K620),"")</f>
        <v/>
      </c>
      <c r="R620" s="19"/>
      <c r="S620" s="18"/>
      <c r="T620" s="28"/>
    </row>
    <row r="621" customFormat="false" ht="18" hidden="false" customHeight="true" outlineLevel="0" collapsed="false">
      <c r="A621" s="3" t="str">
        <f aca="false">IF(B621&lt;&gt;"",ROW()-2,"")</f>
        <v/>
      </c>
      <c r="B621" s="4"/>
      <c r="C621" s="4"/>
      <c r="D621" s="5"/>
      <c r="E621" s="6"/>
      <c r="F621" s="5"/>
      <c r="G621" s="7"/>
      <c r="H621" s="8"/>
      <c r="I621" s="8"/>
      <c r="J621" s="9"/>
      <c r="K621" s="10" t="str">
        <f aca="false">IF(H621*J621=0,"",H621*J621)</f>
        <v/>
      </c>
      <c r="L621" s="11"/>
      <c r="M621" s="11"/>
      <c r="N621" s="10" t="str">
        <f aca="false">IF(L621+M621=0,"",L621+M621)</f>
        <v/>
      </c>
      <c r="O621" s="12" t="str">
        <f aca="false">IF(OR(H621="",I621="",J621=""),"",IF(F621="Long",(I621-H621)*J621*IF(G621="",1,G621),(H621-I621)*J621*IF(G621="",1,G621)))</f>
        <v/>
      </c>
      <c r="P621" s="13" t="str">
        <f aca="false">IF(O621="","",O621-IF(N621="",0,N621))</f>
        <v/>
      </c>
      <c r="Q621" s="14" t="str">
        <f aca="false">IFERROR(IF(P621="","",P621/K621),"")</f>
        <v/>
      </c>
      <c r="R621" s="6"/>
      <c r="S621" s="5"/>
      <c r="T621" s="15"/>
    </row>
    <row r="622" customFormat="false" ht="18" hidden="false" customHeight="true" outlineLevel="0" collapsed="false">
      <c r="A622" s="16" t="str">
        <f aca="false">IF(B622&lt;&gt;"",ROW()-2,"")</f>
        <v/>
      </c>
      <c r="B622" s="17"/>
      <c r="C622" s="17"/>
      <c r="D622" s="18"/>
      <c r="E622" s="19"/>
      <c r="F622" s="18"/>
      <c r="G622" s="20"/>
      <c r="H622" s="21"/>
      <c r="I622" s="21"/>
      <c r="J622" s="22"/>
      <c r="K622" s="23" t="str">
        <f aca="false">IF(H622*J622=0,"",H622*J622)</f>
        <v/>
      </c>
      <c r="L622" s="24"/>
      <c r="M622" s="24"/>
      <c r="N622" s="23" t="str">
        <f aca="false">IF(L622+M622=0,"",L622+M622)</f>
        <v/>
      </c>
      <c r="O622" s="25" t="str">
        <f aca="false">IF(OR(H622="",I622="",J622=""),"",IF(F622="Long",(I622-H622)*J622*IF(G622="",1,G622),(H622-I622)*J622*IF(G622="",1,G622)))</f>
        <v/>
      </c>
      <c r="P622" s="26" t="str">
        <f aca="false">IF(O622="","",O622-IF(N622="",0,N622))</f>
        <v/>
      </c>
      <c r="Q622" s="27" t="str">
        <f aca="false">IFERROR(IF(P622="","",P622/K622),"")</f>
        <v/>
      </c>
      <c r="R622" s="19"/>
      <c r="S622" s="18"/>
      <c r="T622" s="28"/>
    </row>
    <row r="623" customFormat="false" ht="18" hidden="false" customHeight="true" outlineLevel="0" collapsed="false">
      <c r="A623" s="3" t="str">
        <f aca="false">IF(B623&lt;&gt;"",ROW()-2,"")</f>
        <v/>
      </c>
      <c r="B623" s="4"/>
      <c r="C623" s="4"/>
      <c r="D623" s="5"/>
      <c r="E623" s="6"/>
      <c r="F623" s="5"/>
      <c r="G623" s="7"/>
      <c r="H623" s="8"/>
      <c r="I623" s="8"/>
      <c r="J623" s="9"/>
      <c r="K623" s="10" t="str">
        <f aca="false">IF(H623*J623=0,"",H623*J623)</f>
        <v/>
      </c>
      <c r="L623" s="11"/>
      <c r="M623" s="11"/>
      <c r="N623" s="10" t="str">
        <f aca="false">IF(L623+M623=0,"",L623+M623)</f>
        <v/>
      </c>
      <c r="O623" s="12" t="str">
        <f aca="false">IF(OR(H623="",I623="",J623=""),"",IF(F623="Long",(I623-H623)*J623*IF(G623="",1,G623),(H623-I623)*J623*IF(G623="",1,G623)))</f>
        <v/>
      </c>
      <c r="P623" s="13" t="str">
        <f aca="false">IF(O623="","",O623-IF(N623="",0,N623))</f>
        <v/>
      </c>
      <c r="Q623" s="14" t="str">
        <f aca="false">IFERROR(IF(P623="","",P623/K623),"")</f>
        <v/>
      </c>
      <c r="R623" s="6"/>
      <c r="S623" s="5"/>
      <c r="T623" s="15"/>
    </row>
    <row r="624" customFormat="false" ht="18" hidden="false" customHeight="true" outlineLevel="0" collapsed="false">
      <c r="A624" s="16" t="str">
        <f aca="false">IF(B624&lt;&gt;"",ROW()-2,"")</f>
        <v/>
      </c>
      <c r="B624" s="17"/>
      <c r="C624" s="17"/>
      <c r="D624" s="18"/>
      <c r="E624" s="19"/>
      <c r="F624" s="18"/>
      <c r="G624" s="20"/>
      <c r="H624" s="21"/>
      <c r="I624" s="21"/>
      <c r="J624" s="22"/>
      <c r="K624" s="23" t="str">
        <f aca="false">IF(H624*J624=0,"",H624*J624)</f>
        <v/>
      </c>
      <c r="L624" s="24"/>
      <c r="M624" s="24"/>
      <c r="N624" s="23" t="str">
        <f aca="false">IF(L624+M624=0,"",L624+M624)</f>
        <v/>
      </c>
      <c r="O624" s="25" t="str">
        <f aca="false">IF(OR(H624="",I624="",J624=""),"",IF(F624="Long",(I624-H624)*J624*IF(G624="",1,G624),(H624-I624)*J624*IF(G624="",1,G624)))</f>
        <v/>
      </c>
      <c r="P624" s="26" t="str">
        <f aca="false">IF(O624="","",O624-IF(N624="",0,N624))</f>
        <v/>
      </c>
      <c r="Q624" s="27" t="str">
        <f aca="false">IFERROR(IF(P624="","",P624/K624),"")</f>
        <v/>
      </c>
      <c r="R624" s="19"/>
      <c r="S624" s="18"/>
      <c r="T624" s="28"/>
    </row>
    <row r="625" customFormat="false" ht="18" hidden="false" customHeight="true" outlineLevel="0" collapsed="false">
      <c r="A625" s="3" t="str">
        <f aca="false">IF(B625&lt;&gt;"",ROW()-2,"")</f>
        <v/>
      </c>
      <c r="B625" s="4"/>
      <c r="C625" s="4"/>
      <c r="D625" s="5"/>
      <c r="E625" s="6"/>
      <c r="F625" s="5"/>
      <c r="G625" s="7"/>
      <c r="H625" s="8"/>
      <c r="I625" s="8"/>
      <c r="J625" s="9"/>
      <c r="K625" s="10" t="str">
        <f aca="false">IF(H625*J625=0,"",H625*J625)</f>
        <v/>
      </c>
      <c r="L625" s="11"/>
      <c r="M625" s="11"/>
      <c r="N625" s="10" t="str">
        <f aca="false">IF(L625+M625=0,"",L625+M625)</f>
        <v/>
      </c>
      <c r="O625" s="12" t="str">
        <f aca="false">IF(OR(H625="",I625="",J625=""),"",IF(F625="Long",(I625-H625)*J625*IF(G625="",1,G625),(H625-I625)*J625*IF(G625="",1,G625)))</f>
        <v/>
      </c>
      <c r="P625" s="13" t="str">
        <f aca="false">IF(O625="","",O625-IF(N625="",0,N625))</f>
        <v/>
      </c>
      <c r="Q625" s="14" t="str">
        <f aca="false">IFERROR(IF(P625="","",P625/K625),"")</f>
        <v/>
      </c>
      <c r="R625" s="6"/>
      <c r="S625" s="5"/>
      <c r="T625" s="15"/>
    </row>
    <row r="626" customFormat="false" ht="18" hidden="false" customHeight="true" outlineLevel="0" collapsed="false">
      <c r="A626" s="16" t="str">
        <f aca="false">IF(B626&lt;&gt;"",ROW()-2,"")</f>
        <v/>
      </c>
      <c r="B626" s="17"/>
      <c r="C626" s="17"/>
      <c r="D626" s="18"/>
      <c r="E626" s="19"/>
      <c r="F626" s="18"/>
      <c r="G626" s="20"/>
      <c r="H626" s="21"/>
      <c r="I626" s="21"/>
      <c r="J626" s="22"/>
      <c r="K626" s="23" t="str">
        <f aca="false">IF(H626*J626=0,"",H626*J626)</f>
        <v/>
      </c>
      <c r="L626" s="24"/>
      <c r="M626" s="24"/>
      <c r="N626" s="23" t="str">
        <f aca="false">IF(L626+M626=0,"",L626+M626)</f>
        <v/>
      </c>
      <c r="O626" s="25" t="str">
        <f aca="false">IF(OR(H626="",I626="",J626=""),"",IF(F626="Long",(I626-H626)*J626*IF(G626="",1,G626),(H626-I626)*J626*IF(G626="",1,G626)))</f>
        <v/>
      </c>
      <c r="P626" s="26" t="str">
        <f aca="false">IF(O626="","",O626-IF(N626="",0,N626))</f>
        <v/>
      </c>
      <c r="Q626" s="27" t="str">
        <f aca="false">IFERROR(IF(P626="","",P626/K626),"")</f>
        <v/>
      </c>
      <c r="R626" s="19"/>
      <c r="S626" s="18"/>
      <c r="T626" s="28"/>
    </row>
    <row r="627" customFormat="false" ht="18" hidden="false" customHeight="true" outlineLevel="0" collapsed="false">
      <c r="A627" s="3" t="str">
        <f aca="false">IF(B627&lt;&gt;"",ROW()-2,"")</f>
        <v/>
      </c>
      <c r="B627" s="4"/>
      <c r="C627" s="4"/>
      <c r="D627" s="5"/>
      <c r="E627" s="6"/>
      <c r="F627" s="5"/>
      <c r="G627" s="7"/>
      <c r="H627" s="8"/>
      <c r="I627" s="8"/>
      <c r="J627" s="9"/>
      <c r="K627" s="10" t="str">
        <f aca="false">IF(H627*J627=0,"",H627*J627)</f>
        <v/>
      </c>
      <c r="L627" s="11"/>
      <c r="M627" s="11"/>
      <c r="N627" s="10" t="str">
        <f aca="false">IF(L627+M627=0,"",L627+M627)</f>
        <v/>
      </c>
      <c r="O627" s="12" t="str">
        <f aca="false">IF(OR(H627="",I627="",J627=""),"",IF(F627="Long",(I627-H627)*J627*IF(G627="",1,G627),(H627-I627)*J627*IF(G627="",1,G627)))</f>
        <v/>
      </c>
      <c r="P627" s="13" t="str">
        <f aca="false">IF(O627="","",O627-IF(N627="",0,N627))</f>
        <v/>
      </c>
      <c r="Q627" s="14" t="str">
        <f aca="false">IFERROR(IF(P627="","",P627/K627),"")</f>
        <v/>
      </c>
      <c r="R627" s="6"/>
      <c r="S627" s="5"/>
      <c r="T627" s="15"/>
    </row>
    <row r="628" customFormat="false" ht="18" hidden="false" customHeight="true" outlineLevel="0" collapsed="false">
      <c r="A628" s="16" t="str">
        <f aca="false">IF(B628&lt;&gt;"",ROW()-2,"")</f>
        <v/>
      </c>
      <c r="B628" s="17"/>
      <c r="C628" s="17"/>
      <c r="D628" s="18"/>
      <c r="E628" s="19"/>
      <c r="F628" s="18"/>
      <c r="G628" s="20"/>
      <c r="H628" s="21"/>
      <c r="I628" s="21"/>
      <c r="J628" s="22"/>
      <c r="K628" s="23" t="str">
        <f aca="false">IF(H628*J628=0,"",H628*J628)</f>
        <v/>
      </c>
      <c r="L628" s="24"/>
      <c r="M628" s="24"/>
      <c r="N628" s="23" t="str">
        <f aca="false">IF(L628+M628=0,"",L628+M628)</f>
        <v/>
      </c>
      <c r="O628" s="25" t="str">
        <f aca="false">IF(OR(H628="",I628="",J628=""),"",IF(F628="Long",(I628-H628)*J628*IF(G628="",1,G628),(H628-I628)*J628*IF(G628="",1,G628)))</f>
        <v/>
      </c>
      <c r="P628" s="26" t="str">
        <f aca="false">IF(O628="","",O628-IF(N628="",0,N628))</f>
        <v/>
      </c>
      <c r="Q628" s="27" t="str">
        <f aca="false">IFERROR(IF(P628="","",P628/K628),"")</f>
        <v/>
      </c>
      <c r="R628" s="19"/>
      <c r="S628" s="18"/>
      <c r="T628" s="28"/>
    </row>
    <row r="629" customFormat="false" ht="18" hidden="false" customHeight="true" outlineLevel="0" collapsed="false">
      <c r="A629" s="3" t="str">
        <f aca="false">IF(B629&lt;&gt;"",ROW()-2,"")</f>
        <v/>
      </c>
      <c r="B629" s="4"/>
      <c r="C629" s="4"/>
      <c r="D629" s="5"/>
      <c r="E629" s="6"/>
      <c r="F629" s="5"/>
      <c r="G629" s="7"/>
      <c r="H629" s="8"/>
      <c r="I629" s="8"/>
      <c r="J629" s="9"/>
      <c r="K629" s="10" t="str">
        <f aca="false">IF(H629*J629=0,"",H629*J629)</f>
        <v/>
      </c>
      <c r="L629" s="11"/>
      <c r="M629" s="11"/>
      <c r="N629" s="10" t="str">
        <f aca="false">IF(L629+M629=0,"",L629+M629)</f>
        <v/>
      </c>
      <c r="O629" s="12" t="str">
        <f aca="false">IF(OR(H629="",I629="",J629=""),"",IF(F629="Long",(I629-H629)*J629*IF(G629="",1,G629),(H629-I629)*J629*IF(G629="",1,G629)))</f>
        <v/>
      </c>
      <c r="P629" s="13" t="str">
        <f aca="false">IF(O629="","",O629-IF(N629="",0,N629))</f>
        <v/>
      </c>
      <c r="Q629" s="14" t="str">
        <f aca="false">IFERROR(IF(P629="","",P629/K629),"")</f>
        <v/>
      </c>
      <c r="R629" s="6"/>
      <c r="S629" s="5"/>
      <c r="T629" s="15"/>
    </row>
    <row r="630" customFormat="false" ht="18" hidden="false" customHeight="true" outlineLevel="0" collapsed="false">
      <c r="A630" s="16" t="str">
        <f aca="false">IF(B630&lt;&gt;"",ROW()-2,"")</f>
        <v/>
      </c>
      <c r="B630" s="17"/>
      <c r="C630" s="17"/>
      <c r="D630" s="18"/>
      <c r="E630" s="19"/>
      <c r="F630" s="18"/>
      <c r="G630" s="20"/>
      <c r="H630" s="21"/>
      <c r="I630" s="21"/>
      <c r="J630" s="22"/>
      <c r="K630" s="23" t="str">
        <f aca="false">IF(H630*J630=0,"",H630*J630)</f>
        <v/>
      </c>
      <c r="L630" s="24"/>
      <c r="M630" s="24"/>
      <c r="N630" s="23" t="str">
        <f aca="false">IF(L630+M630=0,"",L630+M630)</f>
        <v/>
      </c>
      <c r="O630" s="25" t="str">
        <f aca="false">IF(OR(H630="",I630="",J630=""),"",IF(F630="Long",(I630-H630)*J630*IF(G630="",1,G630),(H630-I630)*J630*IF(G630="",1,G630)))</f>
        <v/>
      </c>
      <c r="P630" s="26" t="str">
        <f aca="false">IF(O630="","",O630-IF(N630="",0,N630))</f>
        <v/>
      </c>
      <c r="Q630" s="27" t="str">
        <f aca="false">IFERROR(IF(P630="","",P630/K630),"")</f>
        <v/>
      </c>
      <c r="R630" s="19"/>
      <c r="S630" s="18"/>
      <c r="T630" s="28"/>
    </row>
    <row r="631" customFormat="false" ht="18" hidden="false" customHeight="true" outlineLevel="0" collapsed="false">
      <c r="A631" s="3" t="str">
        <f aca="false">IF(B631&lt;&gt;"",ROW()-2,"")</f>
        <v/>
      </c>
      <c r="B631" s="4"/>
      <c r="C631" s="4"/>
      <c r="D631" s="5"/>
      <c r="E631" s="6"/>
      <c r="F631" s="5"/>
      <c r="G631" s="7"/>
      <c r="H631" s="8"/>
      <c r="I631" s="8"/>
      <c r="J631" s="9"/>
      <c r="K631" s="10" t="str">
        <f aca="false">IF(H631*J631=0,"",H631*J631)</f>
        <v/>
      </c>
      <c r="L631" s="11"/>
      <c r="M631" s="11"/>
      <c r="N631" s="10" t="str">
        <f aca="false">IF(L631+M631=0,"",L631+M631)</f>
        <v/>
      </c>
      <c r="O631" s="12" t="str">
        <f aca="false">IF(OR(H631="",I631="",J631=""),"",IF(F631="Long",(I631-H631)*J631*IF(G631="",1,G631),(H631-I631)*J631*IF(G631="",1,G631)))</f>
        <v/>
      </c>
      <c r="P631" s="13" t="str">
        <f aca="false">IF(O631="","",O631-IF(N631="",0,N631))</f>
        <v/>
      </c>
      <c r="Q631" s="14" t="str">
        <f aca="false">IFERROR(IF(P631="","",P631/K631),"")</f>
        <v/>
      </c>
      <c r="R631" s="6"/>
      <c r="S631" s="5"/>
      <c r="T631" s="15"/>
    </row>
    <row r="632" customFormat="false" ht="18" hidden="false" customHeight="true" outlineLevel="0" collapsed="false">
      <c r="A632" s="16" t="str">
        <f aca="false">IF(B632&lt;&gt;"",ROW()-2,"")</f>
        <v/>
      </c>
      <c r="B632" s="17"/>
      <c r="C632" s="17"/>
      <c r="D632" s="18"/>
      <c r="E632" s="19"/>
      <c r="F632" s="18"/>
      <c r="G632" s="20"/>
      <c r="H632" s="21"/>
      <c r="I632" s="21"/>
      <c r="J632" s="22"/>
      <c r="K632" s="23" t="str">
        <f aca="false">IF(H632*J632=0,"",H632*J632)</f>
        <v/>
      </c>
      <c r="L632" s="24"/>
      <c r="M632" s="24"/>
      <c r="N632" s="23" t="str">
        <f aca="false">IF(L632+M632=0,"",L632+M632)</f>
        <v/>
      </c>
      <c r="O632" s="25" t="str">
        <f aca="false">IF(OR(H632="",I632="",J632=""),"",IF(F632="Long",(I632-H632)*J632*IF(G632="",1,G632),(H632-I632)*J632*IF(G632="",1,G632)))</f>
        <v/>
      </c>
      <c r="P632" s="26" t="str">
        <f aca="false">IF(O632="","",O632-IF(N632="",0,N632))</f>
        <v/>
      </c>
      <c r="Q632" s="27" t="str">
        <f aca="false">IFERROR(IF(P632="","",P632/K632),"")</f>
        <v/>
      </c>
      <c r="R632" s="19"/>
      <c r="S632" s="18"/>
      <c r="T632" s="28"/>
    </row>
    <row r="633" customFormat="false" ht="18" hidden="false" customHeight="true" outlineLevel="0" collapsed="false">
      <c r="A633" s="3" t="str">
        <f aca="false">IF(B633&lt;&gt;"",ROW()-2,"")</f>
        <v/>
      </c>
      <c r="B633" s="4"/>
      <c r="C633" s="4"/>
      <c r="D633" s="5"/>
      <c r="E633" s="6"/>
      <c r="F633" s="5"/>
      <c r="G633" s="7"/>
      <c r="H633" s="8"/>
      <c r="I633" s="8"/>
      <c r="J633" s="9"/>
      <c r="K633" s="10" t="str">
        <f aca="false">IF(H633*J633=0,"",H633*J633)</f>
        <v/>
      </c>
      <c r="L633" s="11"/>
      <c r="M633" s="11"/>
      <c r="N633" s="10" t="str">
        <f aca="false">IF(L633+M633=0,"",L633+M633)</f>
        <v/>
      </c>
      <c r="O633" s="12" t="str">
        <f aca="false">IF(OR(H633="",I633="",J633=""),"",IF(F633="Long",(I633-H633)*J633*IF(G633="",1,G633),(H633-I633)*J633*IF(G633="",1,G633)))</f>
        <v/>
      </c>
      <c r="P633" s="13" t="str">
        <f aca="false">IF(O633="","",O633-IF(N633="",0,N633))</f>
        <v/>
      </c>
      <c r="Q633" s="14" t="str">
        <f aca="false">IFERROR(IF(P633="","",P633/K633),"")</f>
        <v/>
      </c>
      <c r="R633" s="6"/>
      <c r="S633" s="5"/>
      <c r="T633" s="15"/>
    </row>
    <row r="634" customFormat="false" ht="18" hidden="false" customHeight="true" outlineLevel="0" collapsed="false">
      <c r="A634" s="16" t="str">
        <f aca="false">IF(B634&lt;&gt;"",ROW()-2,"")</f>
        <v/>
      </c>
      <c r="B634" s="17"/>
      <c r="C634" s="17"/>
      <c r="D634" s="18"/>
      <c r="E634" s="19"/>
      <c r="F634" s="18"/>
      <c r="G634" s="20"/>
      <c r="H634" s="21"/>
      <c r="I634" s="21"/>
      <c r="J634" s="22"/>
      <c r="K634" s="23" t="str">
        <f aca="false">IF(H634*J634=0,"",H634*J634)</f>
        <v/>
      </c>
      <c r="L634" s="24"/>
      <c r="M634" s="24"/>
      <c r="N634" s="23" t="str">
        <f aca="false">IF(L634+M634=0,"",L634+M634)</f>
        <v/>
      </c>
      <c r="O634" s="25" t="str">
        <f aca="false">IF(OR(H634="",I634="",J634=""),"",IF(F634="Long",(I634-H634)*J634*IF(G634="",1,G634),(H634-I634)*J634*IF(G634="",1,G634)))</f>
        <v/>
      </c>
      <c r="P634" s="26" t="str">
        <f aca="false">IF(O634="","",O634-IF(N634="",0,N634))</f>
        <v/>
      </c>
      <c r="Q634" s="27" t="str">
        <f aca="false">IFERROR(IF(P634="","",P634/K634),"")</f>
        <v/>
      </c>
      <c r="R634" s="19"/>
      <c r="S634" s="18"/>
      <c r="T634" s="28"/>
    </row>
    <row r="635" customFormat="false" ht="18" hidden="false" customHeight="true" outlineLevel="0" collapsed="false">
      <c r="A635" s="3" t="str">
        <f aca="false">IF(B635&lt;&gt;"",ROW()-2,"")</f>
        <v/>
      </c>
      <c r="B635" s="4"/>
      <c r="C635" s="4"/>
      <c r="D635" s="5"/>
      <c r="E635" s="6"/>
      <c r="F635" s="5"/>
      <c r="G635" s="7"/>
      <c r="H635" s="8"/>
      <c r="I635" s="8"/>
      <c r="J635" s="9"/>
      <c r="K635" s="10" t="str">
        <f aca="false">IF(H635*J635=0,"",H635*J635)</f>
        <v/>
      </c>
      <c r="L635" s="11"/>
      <c r="M635" s="11"/>
      <c r="N635" s="10" t="str">
        <f aca="false">IF(L635+M635=0,"",L635+M635)</f>
        <v/>
      </c>
      <c r="O635" s="12" t="str">
        <f aca="false">IF(OR(H635="",I635="",J635=""),"",IF(F635="Long",(I635-H635)*J635*IF(G635="",1,G635),(H635-I635)*J635*IF(G635="",1,G635)))</f>
        <v/>
      </c>
      <c r="P635" s="13" t="str">
        <f aca="false">IF(O635="","",O635-IF(N635="",0,N635))</f>
        <v/>
      </c>
      <c r="Q635" s="14" t="str">
        <f aca="false">IFERROR(IF(P635="","",P635/K635),"")</f>
        <v/>
      </c>
      <c r="R635" s="6"/>
      <c r="S635" s="5"/>
      <c r="T635" s="15"/>
    </row>
    <row r="636" customFormat="false" ht="18" hidden="false" customHeight="true" outlineLevel="0" collapsed="false">
      <c r="A636" s="16" t="str">
        <f aca="false">IF(B636&lt;&gt;"",ROW()-2,"")</f>
        <v/>
      </c>
      <c r="B636" s="17"/>
      <c r="C636" s="17"/>
      <c r="D636" s="18"/>
      <c r="E636" s="19"/>
      <c r="F636" s="18"/>
      <c r="G636" s="20"/>
      <c r="H636" s="21"/>
      <c r="I636" s="21"/>
      <c r="J636" s="22"/>
      <c r="K636" s="23" t="str">
        <f aca="false">IF(H636*J636=0,"",H636*J636)</f>
        <v/>
      </c>
      <c r="L636" s="24"/>
      <c r="M636" s="24"/>
      <c r="N636" s="23" t="str">
        <f aca="false">IF(L636+M636=0,"",L636+M636)</f>
        <v/>
      </c>
      <c r="O636" s="25" t="str">
        <f aca="false">IF(OR(H636="",I636="",J636=""),"",IF(F636="Long",(I636-H636)*J636*IF(G636="",1,G636),(H636-I636)*J636*IF(G636="",1,G636)))</f>
        <v/>
      </c>
      <c r="P636" s="26" t="str">
        <f aca="false">IF(O636="","",O636-IF(N636="",0,N636))</f>
        <v/>
      </c>
      <c r="Q636" s="27" t="str">
        <f aca="false">IFERROR(IF(P636="","",P636/K636),"")</f>
        <v/>
      </c>
      <c r="R636" s="19"/>
      <c r="S636" s="18"/>
      <c r="T636" s="28"/>
    </row>
    <row r="637" customFormat="false" ht="18" hidden="false" customHeight="true" outlineLevel="0" collapsed="false">
      <c r="A637" s="3" t="str">
        <f aca="false">IF(B637&lt;&gt;"",ROW()-2,"")</f>
        <v/>
      </c>
      <c r="B637" s="4"/>
      <c r="C637" s="4"/>
      <c r="D637" s="5"/>
      <c r="E637" s="6"/>
      <c r="F637" s="5"/>
      <c r="G637" s="7"/>
      <c r="H637" s="8"/>
      <c r="I637" s="8"/>
      <c r="J637" s="9"/>
      <c r="K637" s="10" t="str">
        <f aca="false">IF(H637*J637=0,"",H637*J637)</f>
        <v/>
      </c>
      <c r="L637" s="11"/>
      <c r="M637" s="11"/>
      <c r="N637" s="10" t="str">
        <f aca="false">IF(L637+M637=0,"",L637+M637)</f>
        <v/>
      </c>
      <c r="O637" s="12" t="str">
        <f aca="false">IF(OR(H637="",I637="",J637=""),"",IF(F637="Long",(I637-H637)*J637*IF(G637="",1,G637),(H637-I637)*J637*IF(G637="",1,G637)))</f>
        <v/>
      </c>
      <c r="P637" s="13" t="str">
        <f aca="false">IF(O637="","",O637-IF(N637="",0,N637))</f>
        <v/>
      </c>
      <c r="Q637" s="14" t="str">
        <f aca="false">IFERROR(IF(P637="","",P637/K637),"")</f>
        <v/>
      </c>
      <c r="R637" s="6"/>
      <c r="S637" s="5"/>
      <c r="T637" s="15"/>
    </row>
    <row r="638" customFormat="false" ht="18" hidden="false" customHeight="true" outlineLevel="0" collapsed="false">
      <c r="A638" s="16" t="str">
        <f aca="false">IF(B638&lt;&gt;"",ROW()-2,"")</f>
        <v/>
      </c>
      <c r="B638" s="17"/>
      <c r="C638" s="17"/>
      <c r="D638" s="18"/>
      <c r="E638" s="19"/>
      <c r="F638" s="18"/>
      <c r="G638" s="20"/>
      <c r="H638" s="21"/>
      <c r="I638" s="21"/>
      <c r="J638" s="22"/>
      <c r="K638" s="23" t="str">
        <f aca="false">IF(H638*J638=0,"",H638*J638)</f>
        <v/>
      </c>
      <c r="L638" s="24"/>
      <c r="M638" s="24"/>
      <c r="N638" s="23" t="str">
        <f aca="false">IF(L638+M638=0,"",L638+M638)</f>
        <v/>
      </c>
      <c r="O638" s="25" t="str">
        <f aca="false">IF(OR(H638="",I638="",J638=""),"",IF(F638="Long",(I638-H638)*J638*IF(G638="",1,G638),(H638-I638)*J638*IF(G638="",1,G638)))</f>
        <v/>
      </c>
      <c r="P638" s="26" t="str">
        <f aca="false">IF(O638="","",O638-IF(N638="",0,N638))</f>
        <v/>
      </c>
      <c r="Q638" s="27" t="str">
        <f aca="false">IFERROR(IF(P638="","",P638/K638),"")</f>
        <v/>
      </c>
      <c r="R638" s="19"/>
      <c r="S638" s="18"/>
      <c r="T638" s="28"/>
    </row>
    <row r="639" customFormat="false" ht="18" hidden="false" customHeight="true" outlineLevel="0" collapsed="false">
      <c r="A639" s="3" t="str">
        <f aca="false">IF(B639&lt;&gt;"",ROW()-2,"")</f>
        <v/>
      </c>
      <c r="B639" s="4"/>
      <c r="C639" s="4"/>
      <c r="D639" s="5"/>
      <c r="E639" s="6"/>
      <c r="F639" s="5"/>
      <c r="G639" s="7"/>
      <c r="H639" s="8"/>
      <c r="I639" s="8"/>
      <c r="J639" s="9"/>
      <c r="K639" s="10" t="str">
        <f aca="false">IF(H639*J639=0,"",H639*J639)</f>
        <v/>
      </c>
      <c r="L639" s="11"/>
      <c r="M639" s="11"/>
      <c r="N639" s="10" t="str">
        <f aca="false">IF(L639+M639=0,"",L639+M639)</f>
        <v/>
      </c>
      <c r="O639" s="12" t="str">
        <f aca="false">IF(OR(H639="",I639="",J639=""),"",IF(F639="Long",(I639-H639)*J639*IF(G639="",1,G639),(H639-I639)*J639*IF(G639="",1,G639)))</f>
        <v/>
      </c>
      <c r="P639" s="13" t="str">
        <f aca="false">IF(O639="","",O639-IF(N639="",0,N639))</f>
        <v/>
      </c>
      <c r="Q639" s="14" t="str">
        <f aca="false">IFERROR(IF(P639="","",P639/K639),"")</f>
        <v/>
      </c>
      <c r="R639" s="6"/>
      <c r="S639" s="5"/>
      <c r="T639" s="15"/>
    </row>
    <row r="640" customFormat="false" ht="18" hidden="false" customHeight="true" outlineLevel="0" collapsed="false">
      <c r="A640" s="16" t="str">
        <f aca="false">IF(B640&lt;&gt;"",ROW()-2,"")</f>
        <v/>
      </c>
      <c r="B640" s="17"/>
      <c r="C640" s="17"/>
      <c r="D640" s="18"/>
      <c r="E640" s="19"/>
      <c r="F640" s="18"/>
      <c r="G640" s="20"/>
      <c r="H640" s="21"/>
      <c r="I640" s="21"/>
      <c r="J640" s="22"/>
      <c r="K640" s="23" t="str">
        <f aca="false">IF(H640*J640=0,"",H640*J640)</f>
        <v/>
      </c>
      <c r="L640" s="24"/>
      <c r="M640" s="24"/>
      <c r="N640" s="23" t="str">
        <f aca="false">IF(L640+M640=0,"",L640+M640)</f>
        <v/>
      </c>
      <c r="O640" s="25" t="str">
        <f aca="false">IF(OR(H640="",I640="",J640=""),"",IF(F640="Long",(I640-H640)*J640*IF(G640="",1,G640),(H640-I640)*J640*IF(G640="",1,G640)))</f>
        <v/>
      </c>
      <c r="P640" s="26" t="str">
        <f aca="false">IF(O640="","",O640-IF(N640="",0,N640))</f>
        <v/>
      </c>
      <c r="Q640" s="27" t="str">
        <f aca="false">IFERROR(IF(P640="","",P640/K640),"")</f>
        <v/>
      </c>
      <c r="R640" s="19"/>
      <c r="S640" s="18"/>
      <c r="T640" s="28"/>
    </row>
    <row r="641" customFormat="false" ht="18" hidden="false" customHeight="true" outlineLevel="0" collapsed="false">
      <c r="A641" s="3" t="str">
        <f aca="false">IF(B641&lt;&gt;"",ROW()-2,"")</f>
        <v/>
      </c>
      <c r="B641" s="4"/>
      <c r="C641" s="4"/>
      <c r="D641" s="5"/>
      <c r="E641" s="6"/>
      <c r="F641" s="5"/>
      <c r="G641" s="7"/>
      <c r="H641" s="8"/>
      <c r="I641" s="8"/>
      <c r="J641" s="9"/>
      <c r="K641" s="10" t="str">
        <f aca="false">IF(H641*J641=0,"",H641*J641)</f>
        <v/>
      </c>
      <c r="L641" s="11"/>
      <c r="M641" s="11"/>
      <c r="N641" s="10" t="str">
        <f aca="false">IF(L641+M641=0,"",L641+M641)</f>
        <v/>
      </c>
      <c r="O641" s="12" t="str">
        <f aca="false">IF(OR(H641="",I641="",J641=""),"",IF(F641="Long",(I641-H641)*J641*IF(G641="",1,G641),(H641-I641)*J641*IF(G641="",1,G641)))</f>
        <v/>
      </c>
      <c r="P641" s="13" t="str">
        <f aca="false">IF(O641="","",O641-IF(N641="",0,N641))</f>
        <v/>
      </c>
      <c r="Q641" s="14" t="str">
        <f aca="false">IFERROR(IF(P641="","",P641/K641),"")</f>
        <v/>
      </c>
      <c r="R641" s="6"/>
      <c r="S641" s="5"/>
      <c r="T641" s="15"/>
    </row>
    <row r="642" customFormat="false" ht="18" hidden="false" customHeight="true" outlineLevel="0" collapsed="false">
      <c r="A642" s="16" t="str">
        <f aca="false">IF(B642&lt;&gt;"",ROW()-2,"")</f>
        <v/>
      </c>
      <c r="B642" s="17"/>
      <c r="C642" s="17"/>
      <c r="D642" s="18"/>
      <c r="E642" s="19"/>
      <c r="F642" s="18"/>
      <c r="G642" s="20"/>
      <c r="H642" s="21"/>
      <c r="I642" s="21"/>
      <c r="J642" s="22"/>
      <c r="K642" s="23" t="str">
        <f aca="false">IF(H642*J642=0,"",H642*J642)</f>
        <v/>
      </c>
      <c r="L642" s="24"/>
      <c r="M642" s="24"/>
      <c r="N642" s="23" t="str">
        <f aca="false">IF(L642+M642=0,"",L642+M642)</f>
        <v/>
      </c>
      <c r="O642" s="25" t="str">
        <f aca="false">IF(OR(H642="",I642="",J642=""),"",IF(F642="Long",(I642-H642)*J642*IF(G642="",1,G642),(H642-I642)*J642*IF(G642="",1,G642)))</f>
        <v/>
      </c>
      <c r="P642" s="26" t="str">
        <f aca="false">IF(O642="","",O642-IF(N642="",0,N642))</f>
        <v/>
      </c>
      <c r="Q642" s="27" t="str">
        <f aca="false">IFERROR(IF(P642="","",P642/K642),"")</f>
        <v/>
      </c>
      <c r="R642" s="19"/>
      <c r="S642" s="18"/>
      <c r="T642" s="28"/>
    </row>
    <row r="643" customFormat="false" ht="18" hidden="false" customHeight="true" outlineLevel="0" collapsed="false">
      <c r="A643" s="3" t="str">
        <f aca="false">IF(B643&lt;&gt;"",ROW()-2,"")</f>
        <v/>
      </c>
      <c r="B643" s="4"/>
      <c r="C643" s="4"/>
      <c r="D643" s="5"/>
      <c r="E643" s="6"/>
      <c r="F643" s="5"/>
      <c r="G643" s="7"/>
      <c r="H643" s="8"/>
      <c r="I643" s="8"/>
      <c r="J643" s="9"/>
      <c r="K643" s="10" t="str">
        <f aca="false">IF(H643*J643=0,"",H643*J643)</f>
        <v/>
      </c>
      <c r="L643" s="11"/>
      <c r="M643" s="11"/>
      <c r="N643" s="10" t="str">
        <f aca="false">IF(L643+M643=0,"",L643+M643)</f>
        <v/>
      </c>
      <c r="O643" s="12" t="str">
        <f aca="false">IF(OR(H643="",I643="",J643=""),"",IF(F643="Long",(I643-H643)*J643*IF(G643="",1,G643),(H643-I643)*J643*IF(G643="",1,G643)))</f>
        <v/>
      </c>
      <c r="P643" s="13" t="str">
        <f aca="false">IF(O643="","",O643-IF(N643="",0,N643))</f>
        <v/>
      </c>
      <c r="Q643" s="14" t="str">
        <f aca="false">IFERROR(IF(P643="","",P643/K643),"")</f>
        <v/>
      </c>
      <c r="R643" s="6"/>
      <c r="S643" s="5"/>
      <c r="T643" s="15"/>
    </row>
    <row r="644" customFormat="false" ht="18" hidden="false" customHeight="true" outlineLevel="0" collapsed="false">
      <c r="A644" s="16" t="str">
        <f aca="false">IF(B644&lt;&gt;"",ROW()-2,"")</f>
        <v/>
      </c>
      <c r="B644" s="17"/>
      <c r="C644" s="17"/>
      <c r="D644" s="18"/>
      <c r="E644" s="19"/>
      <c r="F644" s="18"/>
      <c r="G644" s="20"/>
      <c r="H644" s="21"/>
      <c r="I644" s="21"/>
      <c r="J644" s="22"/>
      <c r="K644" s="23" t="str">
        <f aca="false">IF(H644*J644=0,"",H644*J644)</f>
        <v/>
      </c>
      <c r="L644" s="24"/>
      <c r="M644" s="24"/>
      <c r="N644" s="23" t="str">
        <f aca="false">IF(L644+M644=0,"",L644+M644)</f>
        <v/>
      </c>
      <c r="O644" s="25" t="str">
        <f aca="false">IF(OR(H644="",I644="",J644=""),"",IF(F644="Long",(I644-H644)*J644*IF(G644="",1,G644),(H644-I644)*J644*IF(G644="",1,G644)))</f>
        <v/>
      </c>
      <c r="P644" s="26" t="str">
        <f aca="false">IF(O644="","",O644-IF(N644="",0,N644))</f>
        <v/>
      </c>
      <c r="Q644" s="27" t="str">
        <f aca="false">IFERROR(IF(P644="","",P644/K644),"")</f>
        <v/>
      </c>
      <c r="R644" s="19"/>
      <c r="S644" s="18"/>
      <c r="T644" s="28"/>
    </row>
    <row r="645" customFormat="false" ht="18" hidden="false" customHeight="true" outlineLevel="0" collapsed="false">
      <c r="A645" s="3" t="str">
        <f aca="false">IF(B645&lt;&gt;"",ROW()-2,"")</f>
        <v/>
      </c>
      <c r="B645" s="4"/>
      <c r="C645" s="4"/>
      <c r="D645" s="5"/>
      <c r="E645" s="6"/>
      <c r="F645" s="5"/>
      <c r="G645" s="7"/>
      <c r="H645" s="8"/>
      <c r="I645" s="8"/>
      <c r="J645" s="9"/>
      <c r="K645" s="10" t="str">
        <f aca="false">IF(H645*J645=0,"",H645*J645)</f>
        <v/>
      </c>
      <c r="L645" s="11"/>
      <c r="M645" s="11"/>
      <c r="N645" s="10" t="str">
        <f aca="false">IF(L645+M645=0,"",L645+M645)</f>
        <v/>
      </c>
      <c r="O645" s="12" t="str">
        <f aca="false">IF(OR(H645="",I645="",J645=""),"",IF(F645="Long",(I645-H645)*J645*IF(G645="",1,G645),(H645-I645)*J645*IF(G645="",1,G645)))</f>
        <v/>
      </c>
      <c r="P645" s="13" t="str">
        <f aca="false">IF(O645="","",O645-IF(N645="",0,N645))</f>
        <v/>
      </c>
      <c r="Q645" s="14" t="str">
        <f aca="false">IFERROR(IF(P645="","",P645/K645),"")</f>
        <v/>
      </c>
      <c r="R645" s="6"/>
      <c r="S645" s="5"/>
      <c r="T645" s="15"/>
    </row>
    <row r="646" customFormat="false" ht="18" hidden="false" customHeight="true" outlineLevel="0" collapsed="false">
      <c r="A646" s="16" t="str">
        <f aca="false">IF(B646&lt;&gt;"",ROW()-2,"")</f>
        <v/>
      </c>
      <c r="B646" s="17"/>
      <c r="C646" s="17"/>
      <c r="D646" s="18"/>
      <c r="E646" s="19"/>
      <c r="F646" s="18"/>
      <c r="G646" s="20"/>
      <c r="H646" s="21"/>
      <c r="I646" s="21"/>
      <c r="J646" s="22"/>
      <c r="K646" s="23" t="str">
        <f aca="false">IF(H646*J646=0,"",H646*J646)</f>
        <v/>
      </c>
      <c r="L646" s="24"/>
      <c r="M646" s="24"/>
      <c r="N646" s="23" t="str">
        <f aca="false">IF(L646+M646=0,"",L646+M646)</f>
        <v/>
      </c>
      <c r="O646" s="25" t="str">
        <f aca="false">IF(OR(H646="",I646="",J646=""),"",IF(F646="Long",(I646-H646)*J646*IF(G646="",1,G646),(H646-I646)*J646*IF(G646="",1,G646)))</f>
        <v/>
      </c>
      <c r="P646" s="26" t="str">
        <f aca="false">IF(O646="","",O646-IF(N646="",0,N646))</f>
        <v/>
      </c>
      <c r="Q646" s="27" t="str">
        <f aca="false">IFERROR(IF(P646="","",P646/K646),"")</f>
        <v/>
      </c>
      <c r="R646" s="19"/>
      <c r="S646" s="18"/>
      <c r="T646" s="28"/>
    </row>
    <row r="647" customFormat="false" ht="18" hidden="false" customHeight="true" outlineLevel="0" collapsed="false">
      <c r="A647" s="3" t="str">
        <f aca="false">IF(B647&lt;&gt;"",ROW()-2,"")</f>
        <v/>
      </c>
      <c r="B647" s="4"/>
      <c r="C647" s="4"/>
      <c r="D647" s="5"/>
      <c r="E647" s="6"/>
      <c r="F647" s="5"/>
      <c r="G647" s="7"/>
      <c r="H647" s="8"/>
      <c r="I647" s="8"/>
      <c r="J647" s="9"/>
      <c r="K647" s="10" t="str">
        <f aca="false">IF(H647*J647=0,"",H647*J647)</f>
        <v/>
      </c>
      <c r="L647" s="11"/>
      <c r="M647" s="11"/>
      <c r="N647" s="10" t="str">
        <f aca="false">IF(L647+M647=0,"",L647+M647)</f>
        <v/>
      </c>
      <c r="O647" s="12" t="str">
        <f aca="false">IF(OR(H647="",I647="",J647=""),"",IF(F647="Long",(I647-H647)*J647*IF(G647="",1,G647),(H647-I647)*J647*IF(G647="",1,G647)))</f>
        <v/>
      </c>
      <c r="P647" s="13" t="str">
        <f aca="false">IF(O647="","",O647-IF(N647="",0,N647))</f>
        <v/>
      </c>
      <c r="Q647" s="14" t="str">
        <f aca="false">IFERROR(IF(P647="","",P647/K647),"")</f>
        <v/>
      </c>
      <c r="R647" s="6"/>
      <c r="S647" s="5"/>
      <c r="T647" s="15"/>
    </row>
    <row r="648" customFormat="false" ht="18" hidden="false" customHeight="true" outlineLevel="0" collapsed="false">
      <c r="A648" s="16" t="str">
        <f aca="false">IF(B648&lt;&gt;"",ROW()-2,"")</f>
        <v/>
      </c>
      <c r="B648" s="17"/>
      <c r="C648" s="17"/>
      <c r="D648" s="18"/>
      <c r="E648" s="19"/>
      <c r="F648" s="18"/>
      <c r="G648" s="20"/>
      <c r="H648" s="21"/>
      <c r="I648" s="21"/>
      <c r="J648" s="22"/>
      <c r="K648" s="23" t="str">
        <f aca="false">IF(H648*J648=0,"",H648*J648)</f>
        <v/>
      </c>
      <c r="L648" s="24"/>
      <c r="M648" s="24"/>
      <c r="N648" s="23" t="str">
        <f aca="false">IF(L648+M648=0,"",L648+M648)</f>
        <v/>
      </c>
      <c r="O648" s="25" t="str">
        <f aca="false">IF(OR(H648="",I648="",J648=""),"",IF(F648="Long",(I648-H648)*J648*IF(G648="",1,G648),(H648-I648)*J648*IF(G648="",1,G648)))</f>
        <v/>
      </c>
      <c r="P648" s="26" t="str">
        <f aca="false">IF(O648="","",O648-IF(N648="",0,N648))</f>
        <v/>
      </c>
      <c r="Q648" s="27" t="str">
        <f aca="false">IFERROR(IF(P648="","",P648/K648),"")</f>
        <v/>
      </c>
      <c r="R648" s="19"/>
      <c r="S648" s="18"/>
      <c r="T648" s="28"/>
    </row>
    <row r="649" customFormat="false" ht="18" hidden="false" customHeight="true" outlineLevel="0" collapsed="false">
      <c r="A649" s="3" t="str">
        <f aca="false">IF(B649&lt;&gt;"",ROW()-2,"")</f>
        <v/>
      </c>
      <c r="B649" s="4"/>
      <c r="C649" s="4"/>
      <c r="D649" s="5"/>
      <c r="E649" s="6"/>
      <c r="F649" s="5"/>
      <c r="G649" s="7"/>
      <c r="H649" s="8"/>
      <c r="I649" s="8"/>
      <c r="J649" s="9"/>
      <c r="K649" s="10" t="str">
        <f aca="false">IF(H649*J649=0,"",H649*J649)</f>
        <v/>
      </c>
      <c r="L649" s="11"/>
      <c r="M649" s="11"/>
      <c r="N649" s="10" t="str">
        <f aca="false">IF(L649+M649=0,"",L649+M649)</f>
        <v/>
      </c>
      <c r="O649" s="12" t="str">
        <f aca="false">IF(OR(H649="",I649="",J649=""),"",IF(F649="Long",(I649-H649)*J649*IF(G649="",1,G649),(H649-I649)*J649*IF(G649="",1,G649)))</f>
        <v/>
      </c>
      <c r="P649" s="13" t="str">
        <f aca="false">IF(O649="","",O649-IF(N649="",0,N649))</f>
        <v/>
      </c>
      <c r="Q649" s="14" t="str">
        <f aca="false">IFERROR(IF(P649="","",P649/K649),"")</f>
        <v/>
      </c>
      <c r="R649" s="6"/>
      <c r="S649" s="5"/>
      <c r="T649" s="15"/>
    </row>
    <row r="650" customFormat="false" ht="18" hidden="false" customHeight="true" outlineLevel="0" collapsed="false">
      <c r="A650" s="16" t="str">
        <f aca="false">IF(B650&lt;&gt;"",ROW()-2,"")</f>
        <v/>
      </c>
      <c r="B650" s="17"/>
      <c r="C650" s="17"/>
      <c r="D650" s="18"/>
      <c r="E650" s="19"/>
      <c r="F650" s="18"/>
      <c r="G650" s="20"/>
      <c r="H650" s="21"/>
      <c r="I650" s="21"/>
      <c r="J650" s="22"/>
      <c r="K650" s="23" t="str">
        <f aca="false">IF(H650*J650=0,"",H650*J650)</f>
        <v/>
      </c>
      <c r="L650" s="24"/>
      <c r="M650" s="24"/>
      <c r="N650" s="23" t="str">
        <f aca="false">IF(L650+M650=0,"",L650+M650)</f>
        <v/>
      </c>
      <c r="O650" s="25" t="str">
        <f aca="false">IF(OR(H650="",I650="",J650=""),"",IF(F650="Long",(I650-H650)*J650*IF(G650="",1,G650),(H650-I650)*J650*IF(G650="",1,G650)))</f>
        <v/>
      </c>
      <c r="P650" s="26" t="str">
        <f aca="false">IF(O650="","",O650-IF(N650="",0,N650))</f>
        <v/>
      </c>
      <c r="Q650" s="27" t="str">
        <f aca="false">IFERROR(IF(P650="","",P650/K650),"")</f>
        <v/>
      </c>
      <c r="R650" s="19"/>
      <c r="S650" s="18"/>
      <c r="T650" s="28"/>
    </row>
    <row r="651" customFormat="false" ht="18" hidden="false" customHeight="true" outlineLevel="0" collapsed="false">
      <c r="A651" s="3" t="str">
        <f aca="false">IF(B651&lt;&gt;"",ROW()-2,"")</f>
        <v/>
      </c>
      <c r="B651" s="4"/>
      <c r="C651" s="4"/>
      <c r="D651" s="5"/>
      <c r="E651" s="6"/>
      <c r="F651" s="5"/>
      <c r="G651" s="7"/>
      <c r="H651" s="8"/>
      <c r="I651" s="8"/>
      <c r="J651" s="9"/>
      <c r="K651" s="10" t="str">
        <f aca="false">IF(H651*J651=0,"",H651*J651)</f>
        <v/>
      </c>
      <c r="L651" s="11"/>
      <c r="M651" s="11"/>
      <c r="N651" s="10" t="str">
        <f aca="false">IF(L651+M651=0,"",L651+M651)</f>
        <v/>
      </c>
      <c r="O651" s="12" t="str">
        <f aca="false">IF(OR(H651="",I651="",J651=""),"",IF(F651="Long",(I651-H651)*J651*IF(G651="",1,G651),(H651-I651)*J651*IF(G651="",1,G651)))</f>
        <v/>
      </c>
      <c r="P651" s="13" t="str">
        <f aca="false">IF(O651="","",O651-IF(N651="",0,N651))</f>
        <v/>
      </c>
      <c r="Q651" s="14" t="str">
        <f aca="false">IFERROR(IF(P651="","",P651/K651),"")</f>
        <v/>
      </c>
      <c r="R651" s="6"/>
      <c r="S651" s="5"/>
      <c r="T651" s="15"/>
    </row>
    <row r="652" customFormat="false" ht="18" hidden="false" customHeight="true" outlineLevel="0" collapsed="false">
      <c r="A652" s="16" t="str">
        <f aca="false">IF(B652&lt;&gt;"",ROW()-2,"")</f>
        <v/>
      </c>
      <c r="B652" s="17"/>
      <c r="C652" s="17"/>
      <c r="D652" s="18"/>
      <c r="E652" s="19"/>
      <c r="F652" s="18"/>
      <c r="G652" s="20"/>
      <c r="H652" s="21"/>
      <c r="I652" s="21"/>
      <c r="J652" s="22"/>
      <c r="K652" s="23" t="str">
        <f aca="false">IF(H652*J652=0,"",H652*J652)</f>
        <v/>
      </c>
      <c r="L652" s="24"/>
      <c r="M652" s="24"/>
      <c r="N652" s="23" t="str">
        <f aca="false">IF(L652+M652=0,"",L652+M652)</f>
        <v/>
      </c>
      <c r="O652" s="25" t="str">
        <f aca="false">IF(OR(H652="",I652="",J652=""),"",IF(F652="Long",(I652-H652)*J652*IF(G652="",1,G652),(H652-I652)*J652*IF(G652="",1,G652)))</f>
        <v/>
      </c>
      <c r="P652" s="26" t="str">
        <f aca="false">IF(O652="","",O652-IF(N652="",0,N652))</f>
        <v/>
      </c>
      <c r="Q652" s="27" t="str">
        <f aca="false">IFERROR(IF(P652="","",P652/K652),"")</f>
        <v/>
      </c>
      <c r="R652" s="19"/>
      <c r="S652" s="18"/>
      <c r="T652" s="28"/>
    </row>
    <row r="653" customFormat="false" ht="18" hidden="false" customHeight="true" outlineLevel="0" collapsed="false">
      <c r="A653" s="3" t="str">
        <f aca="false">IF(B653&lt;&gt;"",ROW()-2,"")</f>
        <v/>
      </c>
      <c r="B653" s="4"/>
      <c r="C653" s="4"/>
      <c r="D653" s="5"/>
      <c r="E653" s="6"/>
      <c r="F653" s="5"/>
      <c r="G653" s="7"/>
      <c r="H653" s="8"/>
      <c r="I653" s="8"/>
      <c r="J653" s="9"/>
      <c r="K653" s="10" t="str">
        <f aca="false">IF(H653*J653=0,"",H653*J653)</f>
        <v/>
      </c>
      <c r="L653" s="11"/>
      <c r="M653" s="11"/>
      <c r="N653" s="10" t="str">
        <f aca="false">IF(L653+M653=0,"",L653+M653)</f>
        <v/>
      </c>
      <c r="O653" s="12" t="str">
        <f aca="false">IF(OR(H653="",I653="",J653=""),"",IF(F653="Long",(I653-H653)*J653*IF(G653="",1,G653),(H653-I653)*J653*IF(G653="",1,G653)))</f>
        <v/>
      </c>
      <c r="P653" s="13" t="str">
        <f aca="false">IF(O653="","",O653-IF(N653="",0,N653))</f>
        <v/>
      </c>
      <c r="Q653" s="14" t="str">
        <f aca="false">IFERROR(IF(P653="","",P653/K653),"")</f>
        <v/>
      </c>
      <c r="R653" s="6"/>
      <c r="S653" s="5"/>
      <c r="T653" s="15"/>
    </row>
    <row r="654" customFormat="false" ht="18" hidden="false" customHeight="true" outlineLevel="0" collapsed="false">
      <c r="A654" s="16" t="str">
        <f aca="false">IF(B654&lt;&gt;"",ROW()-2,"")</f>
        <v/>
      </c>
      <c r="B654" s="17"/>
      <c r="C654" s="17"/>
      <c r="D654" s="18"/>
      <c r="E654" s="19"/>
      <c r="F654" s="18"/>
      <c r="G654" s="20"/>
      <c r="H654" s="21"/>
      <c r="I654" s="21"/>
      <c r="J654" s="22"/>
      <c r="K654" s="23" t="str">
        <f aca="false">IF(H654*J654=0,"",H654*J654)</f>
        <v/>
      </c>
      <c r="L654" s="24"/>
      <c r="M654" s="24"/>
      <c r="N654" s="23" t="str">
        <f aca="false">IF(L654+M654=0,"",L654+M654)</f>
        <v/>
      </c>
      <c r="O654" s="25" t="str">
        <f aca="false">IF(OR(H654="",I654="",J654=""),"",IF(F654="Long",(I654-H654)*J654*IF(G654="",1,G654),(H654-I654)*J654*IF(G654="",1,G654)))</f>
        <v/>
      </c>
      <c r="P654" s="26" t="str">
        <f aca="false">IF(O654="","",O654-IF(N654="",0,N654))</f>
        <v/>
      </c>
      <c r="Q654" s="27" t="str">
        <f aca="false">IFERROR(IF(P654="","",P654/K654),"")</f>
        <v/>
      </c>
      <c r="R654" s="19"/>
      <c r="S654" s="18"/>
      <c r="T654" s="28"/>
    </row>
    <row r="655" customFormat="false" ht="18" hidden="false" customHeight="true" outlineLevel="0" collapsed="false">
      <c r="A655" s="3" t="str">
        <f aca="false">IF(B655&lt;&gt;"",ROW()-2,"")</f>
        <v/>
      </c>
      <c r="B655" s="4"/>
      <c r="C655" s="4"/>
      <c r="D655" s="5"/>
      <c r="E655" s="6"/>
      <c r="F655" s="5"/>
      <c r="G655" s="7"/>
      <c r="H655" s="8"/>
      <c r="I655" s="8"/>
      <c r="J655" s="9"/>
      <c r="K655" s="10" t="str">
        <f aca="false">IF(H655*J655=0,"",H655*J655)</f>
        <v/>
      </c>
      <c r="L655" s="11"/>
      <c r="M655" s="11"/>
      <c r="N655" s="10" t="str">
        <f aca="false">IF(L655+M655=0,"",L655+M655)</f>
        <v/>
      </c>
      <c r="O655" s="12" t="str">
        <f aca="false">IF(OR(H655="",I655="",J655=""),"",IF(F655="Long",(I655-H655)*J655*IF(G655="",1,G655),(H655-I655)*J655*IF(G655="",1,G655)))</f>
        <v/>
      </c>
      <c r="P655" s="13" t="str">
        <f aca="false">IF(O655="","",O655-IF(N655="",0,N655))</f>
        <v/>
      </c>
      <c r="Q655" s="14" t="str">
        <f aca="false">IFERROR(IF(P655="","",P655/K655),"")</f>
        <v/>
      </c>
      <c r="R655" s="6"/>
      <c r="S655" s="5"/>
      <c r="T655" s="15"/>
    </row>
    <row r="656" customFormat="false" ht="18" hidden="false" customHeight="true" outlineLevel="0" collapsed="false">
      <c r="A656" s="16" t="str">
        <f aca="false">IF(B656&lt;&gt;"",ROW()-2,"")</f>
        <v/>
      </c>
      <c r="B656" s="17"/>
      <c r="C656" s="17"/>
      <c r="D656" s="18"/>
      <c r="E656" s="19"/>
      <c r="F656" s="18"/>
      <c r="G656" s="20"/>
      <c r="H656" s="21"/>
      <c r="I656" s="21"/>
      <c r="J656" s="22"/>
      <c r="K656" s="23" t="str">
        <f aca="false">IF(H656*J656=0,"",H656*J656)</f>
        <v/>
      </c>
      <c r="L656" s="24"/>
      <c r="M656" s="24"/>
      <c r="N656" s="23" t="str">
        <f aca="false">IF(L656+M656=0,"",L656+M656)</f>
        <v/>
      </c>
      <c r="O656" s="25" t="str">
        <f aca="false">IF(OR(H656="",I656="",J656=""),"",IF(F656="Long",(I656-H656)*J656*IF(G656="",1,G656),(H656-I656)*J656*IF(G656="",1,G656)))</f>
        <v/>
      </c>
      <c r="P656" s="26" t="str">
        <f aca="false">IF(O656="","",O656-IF(N656="",0,N656))</f>
        <v/>
      </c>
      <c r="Q656" s="27" t="str">
        <f aca="false">IFERROR(IF(P656="","",P656/K656),"")</f>
        <v/>
      </c>
      <c r="R656" s="19"/>
      <c r="S656" s="18"/>
      <c r="T656" s="28"/>
    </row>
    <row r="657" customFormat="false" ht="18" hidden="false" customHeight="true" outlineLevel="0" collapsed="false">
      <c r="A657" s="3" t="str">
        <f aca="false">IF(B657&lt;&gt;"",ROW()-2,"")</f>
        <v/>
      </c>
      <c r="B657" s="4"/>
      <c r="C657" s="4"/>
      <c r="D657" s="5"/>
      <c r="E657" s="6"/>
      <c r="F657" s="5"/>
      <c r="G657" s="7"/>
      <c r="H657" s="8"/>
      <c r="I657" s="8"/>
      <c r="J657" s="9"/>
      <c r="K657" s="10" t="str">
        <f aca="false">IF(H657*J657=0,"",H657*J657)</f>
        <v/>
      </c>
      <c r="L657" s="11"/>
      <c r="M657" s="11"/>
      <c r="N657" s="10" t="str">
        <f aca="false">IF(L657+M657=0,"",L657+M657)</f>
        <v/>
      </c>
      <c r="O657" s="12" t="str">
        <f aca="false">IF(OR(H657="",I657="",J657=""),"",IF(F657="Long",(I657-H657)*J657*IF(G657="",1,G657),(H657-I657)*J657*IF(G657="",1,G657)))</f>
        <v/>
      </c>
      <c r="P657" s="13" t="str">
        <f aca="false">IF(O657="","",O657-IF(N657="",0,N657))</f>
        <v/>
      </c>
      <c r="Q657" s="14" t="str">
        <f aca="false">IFERROR(IF(P657="","",P657/K657),"")</f>
        <v/>
      </c>
      <c r="R657" s="6"/>
      <c r="S657" s="5"/>
      <c r="T657" s="15"/>
    </row>
    <row r="658" customFormat="false" ht="18" hidden="false" customHeight="true" outlineLevel="0" collapsed="false">
      <c r="A658" s="16" t="str">
        <f aca="false">IF(B658&lt;&gt;"",ROW()-2,"")</f>
        <v/>
      </c>
      <c r="B658" s="17"/>
      <c r="C658" s="17"/>
      <c r="D658" s="18"/>
      <c r="E658" s="19"/>
      <c r="F658" s="18"/>
      <c r="G658" s="20"/>
      <c r="H658" s="21"/>
      <c r="I658" s="21"/>
      <c r="J658" s="22"/>
      <c r="K658" s="23" t="str">
        <f aca="false">IF(H658*J658=0,"",H658*J658)</f>
        <v/>
      </c>
      <c r="L658" s="24"/>
      <c r="M658" s="24"/>
      <c r="N658" s="23" t="str">
        <f aca="false">IF(L658+M658=0,"",L658+M658)</f>
        <v/>
      </c>
      <c r="O658" s="25" t="str">
        <f aca="false">IF(OR(H658="",I658="",J658=""),"",IF(F658="Long",(I658-H658)*J658*IF(G658="",1,G658),(H658-I658)*J658*IF(G658="",1,G658)))</f>
        <v/>
      </c>
      <c r="P658" s="26" t="str">
        <f aca="false">IF(O658="","",O658-IF(N658="",0,N658))</f>
        <v/>
      </c>
      <c r="Q658" s="27" t="str">
        <f aca="false">IFERROR(IF(P658="","",P658/K658),"")</f>
        <v/>
      </c>
      <c r="R658" s="19"/>
      <c r="S658" s="18"/>
      <c r="T658" s="28"/>
    </row>
    <row r="659" customFormat="false" ht="18" hidden="false" customHeight="true" outlineLevel="0" collapsed="false">
      <c r="A659" s="3" t="str">
        <f aca="false">IF(B659&lt;&gt;"",ROW()-2,"")</f>
        <v/>
      </c>
      <c r="B659" s="4"/>
      <c r="C659" s="4"/>
      <c r="D659" s="5"/>
      <c r="E659" s="6"/>
      <c r="F659" s="5"/>
      <c r="G659" s="7"/>
      <c r="H659" s="8"/>
      <c r="I659" s="8"/>
      <c r="J659" s="9"/>
      <c r="K659" s="10" t="str">
        <f aca="false">IF(H659*J659=0,"",H659*J659)</f>
        <v/>
      </c>
      <c r="L659" s="11"/>
      <c r="M659" s="11"/>
      <c r="N659" s="10" t="str">
        <f aca="false">IF(L659+M659=0,"",L659+M659)</f>
        <v/>
      </c>
      <c r="O659" s="12" t="str">
        <f aca="false">IF(OR(H659="",I659="",J659=""),"",IF(F659="Long",(I659-H659)*J659*IF(G659="",1,G659),(H659-I659)*J659*IF(G659="",1,G659)))</f>
        <v/>
      </c>
      <c r="P659" s="13" t="str">
        <f aca="false">IF(O659="","",O659-IF(N659="",0,N659))</f>
        <v/>
      </c>
      <c r="Q659" s="14" t="str">
        <f aca="false">IFERROR(IF(P659="","",P659/K659),"")</f>
        <v/>
      </c>
      <c r="R659" s="6"/>
      <c r="S659" s="5"/>
      <c r="T659" s="15"/>
    </row>
    <row r="660" customFormat="false" ht="18" hidden="false" customHeight="true" outlineLevel="0" collapsed="false">
      <c r="A660" s="16" t="str">
        <f aca="false">IF(B660&lt;&gt;"",ROW()-2,"")</f>
        <v/>
      </c>
      <c r="B660" s="17"/>
      <c r="C660" s="17"/>
      <c r="D660" s="18"/>
      <c r="E660" s="19"/>
      <c r="F660" s="18"/>
      <c r="G660" s="20"/>
      <c r="H660" s="21"/>
      <c r="I660" s="21"/>
      <c r="J660" s="22"/>
      <c r="K660" s="23" t="str">
        <f aca="false">IF(H660*J660=0,"",H660*J660)</f>
        <v/>
      </c>
      <c r="L660" s="24"/>
      <c r="M660" s="24"/>
      <c r="N660" s="23" t="str">
        <f aca="false">IF(L660+M660=0,"",L660+M660)</f>
        <v/>
      </c>
      <c r="O660" s="25" t="str">
        <f aca="false">IF(OR(H660="",I660="",J660=""),"",IF(F660="Long",(I660-H660)*J660*IF(G660="",1,G660),(H660-I660)*J660*IF(G660="",1,G660)))</f>
        <v/>
      </c>
      <c r="P660" s="26" t="str">
        <f aca="false">IF(O660="","",O660-IF(N660="",0,N660))</f>
        <v/>
      </c>
      <c r="Q660" s="27" t="str">
        <f aca="false">IFERROR(IF(P660="","",P660/K660),"")</f>
        <v/>
      </c>
      <c r="R660" s="19"/>
      <c r="S660" s="18"/>
      <c r="T660" s="28"/>
    </row>
    <row r="661" customFormat="false" ht="18" hidden="false" customHeight="true" outlineLevel="0" collapsed="false">
      <c r="A661" s="3" t="str">
        <f aca="false">IF(B661&lt;&gt;"",ROW()-2,"")</f>
        <v/>
      </c>
      <c r="B661" s="4"/>
      <c r="C661" s="4"/>
      <c r="D661" s="5"/>
      <c r="E661" s="6"/>
      <c r="F661" s="5"/>
      <c r="G661" s="7"/>
      <c r="H661" s="8"/>
      <c r="I661" s="8"/>
      <c r="J661" s="9"/>
      <c r="K661" s="10" t="str">
        <f aca="false">IF(H661*J661=0,"",H661*J661)</f>
        <v/>
      </c>
      <c r="L661" s="11"/>
      <c r="M661" s="11"/>
      <c r="N661" s="10" t="str">
        <f aca="false">IF(L661+M661=0,"",L661+M661)</f>
        <v/>
      </c>
      <c r="O661" s="12" t="str">
        <f aca="false">IF(OR(H661="",I661="",J661=""),"",IF(F661="Long",(I661-H661)*J661*IF(G661="",1,G661),(H661-I661)*J661*IF(G661="",1,G661)))</f>
        <v/>
      </c>
      <c r="P661" s="13" t="str">
        <f aca="false">IF(O661="","",O661-IF(N661="",0,N661))</f>
        <v/>
      </c>
      <c r="Q661" s="14" t="str">
        <f aca="false">IFERROR(IF(P661="","",P661/K661),"")</f>
        <v/>
      </c>
      <c r="R661" s="6"/>
      <c r="S661" s="5"/>
      <c r="T661" s="15"/>
    </row>
    <row r="662" customFormat="false" ht="18" hidden="false" customHeight="true" outlineLevel="0" collapsed="false">
      <c r="A662" s="16" t="str">
        <f aca="false">IF(B662&lt;&gt;"",ROW()-2,"")</f>
        <v/>
      </c>
      <c r="B662" s="17"/>
      <c r="C662" s="17"/>
      <c r="D662" s="18"/>
      <c r="E662" s="19"/>
      <c r="F662" s="18"/>
      <c r="G662" s="20"/>
      <c r="H662" s="21"/>
      <c r="I662" s="21"/>
      <c r="J662" s="22"/>
      <c r="K662" s="23" t="str">
        <f aca="false">IF(H662*J662=0,"",H662*J662)</f>
        <v/>
      </c>
      <c r="L662" s="24"/>
      <c r="M662" s="24"/>
      <c r="N662" s="23" t="str">
        <f aca="false">IF(L662+M662=0,"",L662+M662)</f>
        <v/>
      </c>
      <c r="O662" s="25" t="str">
        <f aca="false">IF(OR(H662="",I662="",J662=""),"",IF(F662="Long",(I662-H662)*J662*IF(G662="",1,G662),(H662-I662)*J662*IF(G662="",1,G662)))</f>
        <v/>
      </c>
      <c r="P662" s="26" t="str">
        <f aca="false">IF(O662="","",O662-IF(N662="",0,N662))</f>
        <v/>
      </c>
      <c r="Q662" s="27" t="str">
        <f aca="false">IFERROR(IF(P662="","",P662/K662),"")</f>
        <v/>
      </c>
      <c r="R662" s="19"/>
      <c r="S662" s="18"/>
      <c r="T662" s="28"/>
    </row>
    <row r="663" customFormat="false" ht="18" hidden="false" customHeight="true" outlineLevel="0" collapsed="false">
      <c r="A663" s="3" t="str">
        <f aca="false">IF(B663&lt;&gt;"",ROW()-2,"")</f>
        <v/>
      </c>
      <c r="B663" s="4"/>
      <c r="C663" s="4"/>
      <c r="D663" s="5"/>
      <c r="E663" s="6"/>
      <c r="F663" s="5"/>
      <c r="G663" s="7"/>
      <c r="H663" s="8"/>
      <c r="I663" s="8"/>
      <c r="J663" s="9"/>
      <c r="K663" s="10" t="str">
        <f aca="false">IF(H663*J663=0,"",H663*J663)</f>
        <v/>
      </c>
      <c r="L663" s="11"/>
      <c r="M663" s="11"/>
      <c r="N663" s="10" t="str">
        <f aca="false">IF(L663+M663=0,"",L663+M663)</f>
        <v/>
      </c>
      <c r="O663" s="12" t="str">
        <f aca="false">IF(OR(H663="",I663="",J663=""),"",IF(F663="Long",(I663-H663)*J663*IF(G663="",1,G663),(H663-I663)*J663*IF(G663="",1,G663)))</f>
        <v/>
      </c>
      <c r="P663" s="13" t="str">
        <f aca="false">IF(O663="","",O663-IF(N663="",0,N663))</f>
        <v/>
      </c>
      <c r="Q663" s="14" t="str">
        <f aca="false">IFERROR(IF(P663="","",P663/K663),"")</f>
        <v/>
      </c>
      <c r="R663" s="6"/>
      <c r="S663" s="5"/>
      <c r="T663" s="15"/>
    </row>
    <row r="664" customFormat="false" ht="18" hidden="false" customHeight="true" outlineLevel="0" collapsed="false">
      <c r="A664" s="16" t="str">
        <f aca="false">IF(B664&lt;&gt;"",ROW()-2,"")</f>
        <v/>
      </c>
      <c r="B664" s="17"/>
      <c r="C664" s="17"/>
      <c r="D664" s="18"/>
      <c r="E664" s="19"/>
      <c r="F664" s="18"/>
      <c r="G664" s="20"/>
      <c r="H664" s="21"/>
      <c r="I664" s="21"/>
      <c r="J664" s="22"/>
      <c r="K664" s="23" t="str">
        <f aca="false">IF(H664*J664=0,"",H664*J664)</f>
        <v/>
      </c>
      <c r="L664" s="24"/>
      <c r="M664" s="24"/>
      <c r="N664" s="23" t="str">
        <f aca="false">IF(L664+M664=0,"",L664+M664)</f>
        <v/>
      </c>
      <c r="O664" s="25" t="str">
        <f aca="false">IF(OR(H664="",I664="",J664=""),"",IF(F664="Long",(I664-H664)*J664*IF(G664="",1,G664),(H664-I664)*J664*IF(G664="",1,G664)))</f>
        <v/>
      </c>
      <c r="P664" s="26" t="str">
        <f aca="false">IF(O664="","",O664-IF(N664="",0,N664))</f>
        <v/>
      </c>
      <c r="Q664" s="27" t="str">
        <f aca="false">IFERROR(IF(P664="","",P664/K664),"")</f>
        <v/>
      </c>
      <c r="R664" s="19"/>
      <c r="S664" s="18"/>
      <c r="T664" s="28"/>
    </row>
    <row r="665" customFormat="false" ht="18" hidden="false" customHeight="true" outlineLevel="0" collapsed="false">
      <c r="A665" s="3" t="str">
        <f aca="false">IF(B665&lt;&gt;"",ROW()-2,"")</f>
        <v/>
      </c>
      <c r="B665" s="4"/>
      <c r="C665" s="4"/>
      <c r="D665" s="5"/>
      <c r="E665" s="6"/>
      <c r="F665" s="5"/>
      <c r="G665" s="7"/>
      <c r="H665" s="8"/>
      <c r="I665" s="8"/>
      <c r="J665" s="9"/>
      <c r="K665" s="10" t="str">
        <f aca="false">IF(H665*J665=0,"",H665*J665)</f>
        <v/>
      </c>
      <c r="L665" s="11"/>
      <c r="M665" s="11"/>
      <c r="N665" s="10" t="str">
        <f aca="false">IF(L665+M665=0,"",L665+M665)</f>
        <v/>
      </c>
      <c r="O665" s="12" t="str">
        <f aca="false">IF(OR(H665="",I665="",J665=""),"",IF(F665="Long",(I665-H665)*J665*IF(G665="",1,G665),(H665-I665)*J665*IF(G665="",1,G665)))</f>
        <v/>
      </c>
      <c r="P665" s="13" t="str">
        <f aca="false">IF(O665="","",O665-IF(N665="",0,N665))</f>
        <v/>
      </c>
      <c r="Q665" s="14" t="str">
        <f aca="false">IFERROR(IF(P665="","",P665/K665),"")</f>
        <v/>
      </c>
      <c r="R665" s="6"/>
      <c r="S665" s="5"/>
      <c r="T665" s="15"/>
    </row>
    <row r="666" customFormat="false" ht="18" hidden="false" customHeight="true" outlineLevel="0" collapsed="false">
      <c r="A666" s="16" t="str">
        <f aca="false">IF(B666&lt;&gt;"",ROW()-2,"")</f>
        <v/>
      </c>
      <c r="B666" s="17"/>
      <c r="C666" s="17"/>
      <c r="D666" s="18"/>
      <c r="E666" s="19"/>
      <c r="F666" s="18"/>
      <c r="G666" s="20"/>
      <c r="H666" s="21"/>
      <c r="I666" s="21"/>
      <c r="J666" s="22"/>
      <c r="K666" s="23" t="str">
        <f aca="false">IF(H666*J666=0,"",H666*J666)</f>
        <v/>
      </c>
      <c r="L666" s="24"/>
      <c r="M666" s="24"/>
      <c r="N666" s="23" t="str">
        <f aca="false">IF(L666+M666=0,"",L666+M666)</f>
        <v/>
      </c>
      <c r="O666" s="25" t="str">
        <f aca="false">IF(OR(H666="",I666="",J666=""),"",IF(F666="Long",(I666-H666)*J666*IF(G666="",1,G666),(H666-I666)*J666*IF(G666="",1,G666)))</f>
        <v/>
      </c>
      <c r="P666" s="26" t="str">
        <f aca="false">IF(O666="","",O666-IF(N666="",0,N666))</f>
        <v/>
      </c>
      <c r="Q666" s="27" t="str">
        <f aca="false">IFERROR(IF(P666="","",P666/K666),"")</f>
        <v/>
      </c>
      <c r="R666" s="19"/>
      <c r="S666" s="18"/>
      <c r="T666" s="28"/>
    </row>
    <row r="667" customFormat="false" ht="18" hidden="false" customHeight="true" outlineLevel="0" collapsed="false">
      <c r="A667" s="3" t="str">
        <f aca="false">IF(B667&lt;&gt;"",ROW()-2,"")</f>
        <v/>
      </c>
      <c r="B667" s="4"/>
      <c r="C667" s="4"/>
      <c r="D667" s="5"/>
      <c r="E667" s="6"/>
      <c r="F667" s="5"/>
      <c r="G667" s="7"/>
      <c r="H667" s="8"/>
      <c r="I667" s="8"/>
      <c r="J667" s="9"/>
      <c r="K667" s="10" t="str">
        <f aca="false">IF(H667*J667=0,"",H667*J667)</f>
        <v/>
      </c>
      <c r="L667" s="11"/>
      <c r="M667" s="11"/>
      <c r="N667" s="10" t="str">
        <f aca="false">IF(L667+M667=0,"",L667+M667)</f>
        <v/>
      </c>
      <c r="O667" s="12" t="str">
        <f aca="false">IF(OR(H667="",I667="",J667=""),"",IF(F667="Long",(I667-H667)*J667*IF(G667="",1,G667),(H667-I667)*J667*IF(G667="",1,G667)))</f>
        <v/>
      </c>
      <c r="P667" s="13" t="str">
        <f aca="false">IF(O667="","",O667-IF(N667="",0,N667))</f>
        <v/>
      </c>
      <c r="Q667" s="14" t="str">
        <f aca="false">IFERROR(IF(P667="","",P667/K667),"")</f>
        <v/>
      </c>
      <c r="R667" s="6"/>
      <c r="S667" s="5"/>
      <c r="T667" s="15"/>
    </row>
    <row r="668" customFormat="false" ht="18" hidden="false" customHeight="true" outlineLevel="0" collapsed="false">
      <c r="A668" s="16" t="str">
        <f aca="false">IF(B668&lt;&gt;"",ROW()-2,"")</f>
        <v/>
      </c>
      <c r="B668" s="17"/>
      <c r="C668" s="17"/>
      <c r="D668" s="18"/>
      <c r="E668" s="19"/>
      <c r="F668" s="18"/>
      <c r="G668" s="20"/>
      <c r="H668" s="21"/>
      <c r="I668" s="21"/>
      <c r="J668" s="22"/>
      <c r="K668" s="23" t="str">
        <f aca="false">IF(H668*J668=0,"",H668*J668)</f>
        <v/>
      </c>
      <c r="L668" s="24"/>
      <c r="M668" s="24"/>
      <c r="N668" s="23" t="str">
        <f aca="false">IF(L668+M668=0,"",L668+M668)</f>
        <v/>
      </c>
      <c r="O668" s="25" t="str">
        <f aca="false">IF(OR(H668="",I668="",J668=""),"",IF(F668="Long",(I668-H668)*J668*IF(G668="",1,G668),(H668-I668)*J668*IF(G668="",1,G668)))</f>
        <v/>
      </c>
      <c r="P668" s="26" t="str">
        <f aca="false">IF(O668="","",O668-IF(N668="",0,N668))</f>
        <v/>
      </c>
      <c r="Q668" s="27" t="str">
        <f aca="false">IFERROR(IF(P668="","",P668/K668),"")</f>
        <v/>
      </c>
      <c r="R668" s="19"/>
      <c r="S668" s="18"/>
      <c r="T668" s="28"/>
    </row>
    <row r="669" customFormat="false" ht="18" hidden="false" customHeight="true" outlineLevel="0" collapsed="false">
      <c r="A669" s="3" t="str">
        <f aca="false">IF(B669&lt;&gt;"",ROW()-2,"")</f>
        <v/>
      </c>
      <c r="B669" s="4"/>
      <c r="C669" s="4"/>
      <c r="D669" s="5"/>
      <c r="E669" s="6"/>
      <c r="F669" s="5"/>
      <c r="G669" s="7"/>
      <c r="H669" s="8"/>
      <c r="I669" s="8"/>
      <c r="J669" s="9"/>
      <c r="K669" s="10" t="str">
        <f aca="false">IF(H669*J669=0,"",H669*J669)</f>
        <v/>
      </c>
      <c r="L669" s="11"/>
      <c r="M669" s="11"/>
      <c r="N669" s="10" t="str">
        <f aca="false">IF(L669+M669=0,"",L669+M669)</f>
        <v/>
      </c>
      <c r="O669" s="12" t="str">
        <f aca="false">IF(OR(H669="",I669="",J669=""),"",IF(F669="Long",(I669-H669)*J669*IF(G669="",1,G669),(H669-I669)*J669*IF(G669="",1,G669)))</f>
        <v/>
      </c>
      <c r="P669" s="13" t="str">
        <f aca="false">IF(O669="","",O669-IF(N669="",0,N669))</f>
        <v/>
      </c>
      <c r="Q669" s="14" t="str">
        <f aca="false">IFERROR(IF(P669="","",P669/K669),"")</f>
        <v/>
      </c>
      <c r="R669" s="6"/>
      <c r="S669" s="5"/>
      <c r="T669" s="15"/>
    </row>
    <row r="670" customFormat="false" ht="18" hidden="false" customHeight="true" outlineLevel="0" collapsed="false">
      <c r="A670" s="16" t="str">
        <f aca="false">IF(B670&lt;&gt;"",ROW()-2,"")</f>
        <v/>
      </c>
      <c r="B670" s="17"/>
      <c r="C670" s="17"/>
      <c r="D670" s="18"/>
      <c r="E670" s="19"/>
      <c r="F670" s="18"/>
      <c r="G670" s="20"/>
      <c r="H670" s="21"/>
      <c r="I670" s="21"/>
      <c r="J670" s="22"/>
      <c r="K670" s="23" t="str">
        <f aca="false">IF(H670*J670=0,"",H670*J670)</f>
        <v/>
      </c>
      <c r="L670" s="24"/>
      <c r="M670" s="24"/>
      <c r="N670" s="23" t="str">
        <f aca="false">IF(L670+M670=0,"",L670+M670)</f>
        <v/>
      </c>
      <c r="O670" s="25" t="str">
        <f aca="false">IF(OR(H670="",I670="",J670=""),"",IF(F670="Long",(I670-H670)*J670*IF(G670="",1,G670),(H670-I670)*J670*IF(G670="",1,G670)))</f>
        <v/>
      </c>
      <c r="P670" s="26" t="str">
        <f aca="false">IF(O670="","",O670-IF(N670="",0,N670))</f>
        <v/>
      </c>
      <c r="Q670" s="27" t="str">
        <f aca="false">IFERROR(IF(P670="","",P670/K670),"")</f>
        <v/>
      </c>
      <c r="R670" s="19"/>
      <c r="S670" s="18"/>
      <c r="T670" s="28"/>
    </row>
    <row r="671" customFormat="false" ht="18" hidden="false" customHeight="true" outlineLevel="0" collapsed="false">
      <c r="A671" s="3" t="str">
        <f aca="false">IF(B671&lt;&gt;"",ROW()-2,"")</f>
        <v/>
      </c>
      <c r="B671" s="4"/>
      <c r="C671" s="4"/>
      <c r="D671" s="5"/>
      <c r="E671" s="6"/>
      <c r="F671" s="5"/>
      <c r="G671" s="7"/>
      <c r="H671" s="8"/>
      <c r="I671" s="8"/>
      <c r="J671" s="9"/>
      <c r="K671" s="10" t="str">
        <f aca="false">IF(H671*J671=0,"",H671*J671)</f>
        <v/>
      </c>
      <c r="L671" s="11"/>
      <c r="M671" s="11"/>
      <c r="N671" s="10" t="str">
        <f aca="false">IF(L671+M671=0,"",L671+M671)</f>
        <v/>
      </c>
      <c r="O671" s="12" t="str">
        <f aca="false">IF(OR(H671="",I671="",J671=""),"",IF(F671="Long",(I671-H671)*J671*IF(G671="",1,G671),(H671-I671)*J671*IF(G671="",1,G671)))</f>
        <v/>
      </c>
      <c r="P671" s="13" t="str">
        <f aca="false">IF(O671="","",O671-IF(N671="",0,N671))</f>
        <v/>
      </c>
      <c r="Q671" s="14" t="str">
        <f aca="false">IFERROR(IF(P671="","",P671/K671),"")</f>
        <v/>
      </c>
      <c r="R671" s="6"/>
      <c r="S671" s="5"/>
      <c r="T671" s="15"/>
    </row>
    <row r="672" customFormat="false" ht="18" hidden="false" customHeight="true" outlineLevel="0" collapsed="false">
      <c r="A672" s="16" t="str">
        <f aca="false">IF(B672&lt;&gt;"",ROW()-2,"")</f>
        <v/>
      </c>
      <c r="B672" s="17"/>
      <c r="C672" s="17"/>
      <c r="D672" s="18"/>
      <c r="E672" s="19"/>
      <c r="F672" s="18"/>
      <c r="G672" s="20"/>
      <c r="H672" s="21"/>
      <c r="I672" s="21"/>
      <c r="J672" s="22"/>
      <c r="K672" s="23" t="str">
        <f aca="false">IF(H672*J672=0,"",H672*J672)</f>
        <v/>
      </c>
      <c r="L672" s="24"/>
      <c r="M672" s="24"/>
      <c r="N672" s="23" t="str">
        <f aca="false">IF(L672+M672=0,"",L672+M672)</f>
        <v/>
      </c>
      <c r="O672" s="25" t="str">
        <f aca="false">IF(OR(H672="",I672="",J672=""),"",IF(F672="Long",(I672-H672)*J672*IF(G672="",1,G672),(H672-I672)*J672*IF(G672="",1,G672)))</f>
        <v/>
      </c>
      <c r="P672" s="26" t="str">
        <f aca="false">IF(O672="","",O672-IF(N672="",0,N672))</f>
        <v/>
      </c>
      <c r="Q672" s="27" t="str">
        <f aca="false">IFERROR(IF(P672="","",P672/K672),"")</f>
        <v/>
      </c>
      <c r="R672" s="19"/>
      <c r="S672" s="18"/>
      <c r="T672" s="28"/>
    </row>
    <row r="673" customFormat="false" ht="18" hidden="false" customHeight="true" outlineLevel="0" collapsed="false">
      <c r="A673" s="3" t="str">
        <f aca="false">IF(B673&lt;&gt;"",ROW()-2,"")</f>
        <v/>
      </c>
      <c r="B673" s="4"/>
      <c r="C673" s="4"/>
      <c r="D673" s="5"/>
      <c r="E673" s="6"/>
      <c r="F673" s="5"/>
      <c r="G673" s="7"/>
      <c r="H673" s="8"/>
      <c r="I673" s="8"/>
      <c r="J673" s="9"/>
      <c r="K673" s="10" t="str">
        <f aca="false">IF(H673*J673=0,"",H673*J673)</f>
        <v/>
      </c>
      <c r="L673" s="11"/>
      <c r="M673" s="11"/>
      <c r="N673" s="10" t="str">
        <f aca="false">IF(L673+M673=0,"",L673+M673)</f>
        <v/>
      </c>
      <c r="O673" s="12" t="str">
        <f aca="false">IF(OR(H673="",I673="",J673=""),"",IF(F673="Long",(I673-H673)*J673*IF(G673="",1,G673),(H673-I673)*J673*IF(G673="",1,G673)))</f>
        <v/>
      </c>
      <c r="P673" s="13" t="str">
        <f aca="false">IF(O673="","",O673-IF(N673="",0,N673))</f>
        <v/>
      </c>
      <c r="Q673" s="14" t="str">
        <f aca="false">IFERROR(IF(P673="","",P673/K673),"")</f>
        <v/>
      </c>
      <c r="R673" s="6"/>
      <c r="S673" s="5"/>
      <c r="T673" s="15"/>
    </row>
    <row r="674" customFormat="false" ht="18" hidden="false" customHeight="true" outlineLevel="0" collapsed="false">
      <c r="A674" s="16" t="str">
        <f aca="false">IF(B674&lt;&gt;"",ROW()-2,"")</f>
        <v/>
      </c>
      <c r="B674" s="17"/>
      <c r="C674" s="17"/>
      <c r="D674" s="18"/>
      <c r="E674" s="19"/>
      <c r="F674" s="18"/>
      <c r="G674" s="20"/>
      <c r="H674" s="21"/>
      <c r="I674" s="21"/>
      <c r="J674" s="22"/>
      <c r="K674" s="23" t="str">
        <f aca="false">IF(H674*J674=0,"",H674*J674)</f>
        <v/>
      </c>
      <c r="L674" s="24"/>
      <c r="M674" s="24"/>
      <c r="N674" s="23" t="str">
        <f aca="false">IF(L674+M674=0,"",L674+M674)</f>
        <v/>
      </c>
      <c r="O674" s="25" t="str">
        <f aca="false">IF(OR(H674="",I674="",J674=""),"",IF(F674="Long",(I674-H674)*J674*IF(G674="",1,G674),(H674-I674)*J674*IF(G674="",1,G674)))</f>
        <v/>
      </c>
      <c r="P674" s="26" t="str">
        <f aca="false">IF(O674="","",O674-IF(N674="",0,N674))</f>
        <v/>
      </c>
      <c r="Q674" s="27" t="str">
        <f aca="false">IFERROR(IF(P674="","",P674/K674),"")</f>
        <v/>
      </c>
      <c r="R674" s="19"/>
      <c r="S674" s="18"/>
      <c r="T674" s="28"/>
    </row>
    <row r="675" customFormat="false" ht="18" hidden="false" customHeight="true" outlineLevel="0" collapsed="false">
      <c r="A675" s="3" t="str">
        <f aca="false">IF(B675&lt;&gt;"",ROW()-2,"")</f>
        <v/>
      </c>
      <c r="B675" s="4"/>
      <c r="C675" s="4"/>
      <c r="D675" s="5"/>
      <c r="E675" s="6"/>
      <c r="F675" s="5"/>
      <c r="G675" s="7"/>
      <c r="H675" s="8"/>
      <c r="I675" s="8"/>
      <c r="J675" s="9"/>
      <c r="K675" s="10" t="str">
        <f aca="false">IF(H675*J675=0,"",H675*J675)</f>
        <v/>
      </c>
      <c r="L675" s="11"/>
      <c r="M675" s="11"/>
      <c r="N675" s="10" t="str">
        <f aca="false">IF(L675+M675=0,"",L675+M675)</f>
        <v/>
      </c>
      <c r="O675" s="12" t="str">
        <f aca="false">IF(OR(H675="",I675="",J675=""),"",IF(F675="Long",(I675-H675)*J675*IF(G675="",1,G675),(H675-I675)*J675*IF(G675="",1,G675)))</f>
        <v/>
      </c>
      <c r="P675" s="13" t="str">
        <f aca="false">IF(O675="","",O675-IF(N675="",0,N675))</f>
        <v/>
      </c>
      <c r="Q675" s="14" t="str">
        <f aca="false">IFERROR(IF(P675="","",P675/K675),"")</f>
        <v/>
      </c>
      <c r="R675" s="6"/>
      <c r="S675" s="5"/>
      <c r="T675" s="15"/>
    </row>
    <row r="676" customFormat="false" ht="18" hidden="false" customHeight="true" outlineLevel="0" collapsed="false">
      <c r="A676" s="16" t="str">
        <f aca="false">IF(B676&lt;&gt;"",ROW()-2,"")</f>
        <v/>
      </c>
      <c r="B676" s="17"/>
      <c r="C676" s="17"/>
      <c r="D676" s="18"/>
      <c r="E676" s="19"/>
      <c r="F676" s="18"/>
      <c r="G676" s="20"/>
      <c r="H676" s="21"/>
      <c r="I676" s="21"/>
      <c r="J676" s="22"/>
      <c r="K676" s="23" t="str">
        <f aca="false">IF(H676*J676=0,"",H676*J676)</f>
        <v/>
      </c>
      <c r="L676" s="24"/>
      <c r="M676" s="24"/>
      <c r="N676" s="23" t="str">
        <f aca="false">IF(L676+M676=0,"",L676+M676)</f>
        <v/>
      </c>
      <c r="O676" s="25" t="str">
        <f aca="false">IF(OR(H676="",I676="",J676=""),"",IF(F676="Long",(I676-H676)*J676*IF(G676="",1,G676),(H676-I676)*J676*IF(G676="",1,G676)))</f>
        <v/>
      </c>
      <c r="P676" s="26" t="str">
        <f aca="false">IF(O676="","",O676-IF(N676="",0,N676))</f>
        <v/>
      </c>
      <c r="Q676" s="27" t="str">
        <f aca="false">IFERROR(IF(P676="","",P676/K676),"")</f>
        <v/>
      </c>
      <c r="R676" s="19"/>
      <c r="S676" s="18"/>
      <c r="T676" s="28"/>
    </row>
    <row r="677" customFormat="false" ht="18" hidden="false" customHeight="true" outlineLevel="0" collapsed="false">
      <c r="A677" s="3" t="str">
        <f aca="false">IF(B677&lt;&gt;"",ROW()-2,"")</f>
        <v/>
      </c>
      <c r="B677" s="4"/>
      <c r="C677" s="4"/>
      <c r="D677" s="5"/>
      <c r="E677" s="6"/>
      <c r="F677" s="5"/>
      <c r="G677" s="7"/>
      <c r="H677" s="8"/>
      <c r="I677" s="8"/>
      <c r="J677" s="9"/>
      <c r="K677" s="10" t="str">
        <f aca="false">IF(H677*J677=0,"",H677*J677)</f>
        <v/>
      </c>
      <c r="L677" s="11"/>
      <c r="M677" s="11"/>
      <c r="N677" s="10" t="str">
        <f aca="false">IF(L677+M677=0,"",L677+M677)</f>
        <v/>
      </c>
      <c r="O677" s="12" t="str">
        <f aca="false">IF(OR(H677="",I677="",J677=""),"",IF(F677="Long",(I677-H677)*J677*IF(G677="",1,G677),(H677-I677)*J677*IF(G677="",1,G677)))</f>
        <v/>
      </c>
      <c r="P677" s="13" t="str">
        <f aca="false">IF(O677="","",O677-IF(N677="",0,N677))</f>
        <v/>
      </c>
      <c r="Q677" s="14" t="str">
        <f aca="false">IFERROR(IF(P677="","",P677/K677),"")</f>
        <v/>
      </c>
      <c r="R677" s="6"/>
      <c r="S677" s="5"/>
      <c r="T677" s="15"/>
    </row>
    <row r="678" customFormat="false" ht="18" hidden="false" customHeight="true" outlineLevel="0" collapsed="false">
      <c r="A678" s="16" t="str">
        <f aca="false">IF(B678&lt;&gt;"",ROW()-2,"")</f>
        <v/>
      </c>
      <c r="B678" s="17"/>
      <c r="C678" s="17"/>
      <c r="D678" s="18"/>
      <c r="E678" s="19"/>
      <c r="F678" s="18"/>
      <c r="G678" s="20"/>
      <c r="H678" s="21"/>
      <c r="I678" s="21"/>
      <c r="J678" s="22"/>
      <c r="K678" s="23" t="str">
        <f aca="false">IF(H678*J678=0,"",H678*J678)</f>
        <v/>
      </c>
      <c r="L678" s="24"/>
      <c r="M678" s="24"/>
      <c r="N678" s="23" t="str">
        <f aca="false">IF(L678+M678=0,"",L678+M678)</f>
        <v/>
      </c>
      <c r="O678" s="25" t="str">
        <f aca="false">IF(OR(H678="",I678="",J678=""),"",IF(F678="Long",(I678-H678)*J678*IF(G678="",1,G678),(H678-I678)*J678*IF(G678="",1,G678)))</f>
        <v/>
      </c>
      <c r="P678" s="26" t="str">
        <f aca="false">IF(O678="","",O678-IF(N678="",0,N678))</f>
        <v/>
      </c>
      <c r="Q678" s="27" t="str">
        <f aca="false">IFERROR(IF(P678="","",P678/K678),"")</f>
        <v/>
      </c>
      <c r="R678" s="19"/>
      <c r="S678" s="18"/>
      <c r="T678" s="28"/>
    </row>
    <row r="679" customFormat="false" ht="18" hidden="false" customHeight="true" outlineLevel="0" collapsed="false">
      <c r="A679" s="3" t="str">
        <f aca="false">IF(B679&lt;&gt;"",ROW()-2,"")</f>
        <v/>
      </c>
      <c r="B679" s="4"/>
      <c r="C679" s="4"/>
      <c r="D679" s="5"/>
      <c r="E679" s="6"/>
      <c r="F679" s="5"/>
      <c r="G679" s="7"/>
      <c r="H679" s="8"/>
      <c r="I679" s="8"/>
      <c r="J679" s="9"/>
      <c r="K679" s="10" t="str">
        <f aca="false">IF(H679*J679=0,"",H679*J679)</f>
        <v/>
      </c>
      <c r="L679" s="11"/>
      <c r="M679" s="11"/>
      <c r="N679" s="10" t="str">
        <f aca="false">IF(L679+M679=0,"",L679+M679)</f>
        <v/>
      </c>
      <c r="O679" s="12" t="str">
        <f aca="false">IF(OR(H679="",I679="",J679=""),"",IF(F679="Long",(I679-H679)*J679*IF(G679="",1,G679),(H679-I679)*J679*IF(G679="",1,G679)))</f>
        <v/>
      </c>
      <c r="P679" s="13" t="str">
        <f aca="false">IF(O679="","",O679-IF(N679="",0,N679))</f>
        <v/>
      </c>
      <c r="Q679" s="14" t="str">
        <f aca="false">IFERROR(IF(P679="","",P679/K679),"")</f>
        <v/>
      </c>
      <c r="R679" s="6"/>
      <c r="S679" s="5"/>
      <c r="T679" s="15"/>
    </row>
    <row r="680" customFormat="false" ht="18" hidden="false" customHeight="true" outlineLevel="0" collapsed="false">
      <c r="A680" s="16" t="str">
        <f aca="false">IF(B680&lt;&gt;"",ROW()-2,"")</f>
        <v/>
      </c>
      <c r="B680" s="17"/>
      <c r="C680" s="17"/>
      <c r="D680" s="18"/>
      <c r="E680" s="19"/>
      <c r="F680" s="18"/>
      <c r="G680" s="20"/>
      <c r="H680" s="21"/>
      <c r="I680" s="21"/>
      <c r="J680" s="22"/>
      <c r="K680" s="23" t="str">
        <f aca="false">IF(H680*J680=0,"",H680*J680)</f>
        <v/>
      </c>
      <c r="L680" s="24"/>
      <c r="M680" s="24"/>
      <c r="N680" s="23" t="str">
        <f aca="false">IF(L680+M680=0,"",L680+M680)</f>
        <v/>
      </c>
      <c r="O680" s="25" t="str">
        <f aca="false">IF(OR(H680="",I680="",J680=""),"",IF(F680="Long",(I680-H680)*J680*IF(G680="",1,G680),(H680-I680)*J680*IF(G680="",1,G680)))</f>
        <v/>
      </c>
      <c r="P680" s="26" t="str">
        <f aca="false">IF(O680="","",O680-IF(N680="",0,N680))</f>
        <v/>
      </c>
      <c r="Q680" s="27" t="str">
        <f aca="false">IFERROR(IF(P680="","",P680/K680),"")</f>
        <v/>
      </c>
      <c r="R680" s="19"/>
      <c r="S680" s="18"/>
      <c r="T680" s="28"/>
    </row>
    <row r="681" customFormat="false" ht="18" hidden="false" customHeight="true" outlineLevel="0" collapsed="false">
      <c r="A681" s="3" t="str">
        <f aca="false">IF(B681&lt;&gt;"",ROW()-2,"")</f>
        <v/>
      </c>
      <c r="B681" s="4"/>
      <c r="C681" s="4"/>
      <c r="D681" s="5"/>
      <c r="E681" s="6"/>
      <c r="F681" s="5"/>
      <c r="G681" s="7"/>
      <c r="H681" s="8"/>
      <c r="I681" s="8"/>
      <c r="J681" s="9"/>
      <c r="K681" s="10" t="str">
        <f aca="false">IF(H681*J681=0,"",H681*J681)</f>
        <v/>
      </c>
      <c r="L681" s="11"/>
      <c r="M681" s="11"/>
      <c r="N681" s="10" t="str">
        <f aca="false">IF(L681+M681=0,"",L681+M681)</f>
        <v/>
      </c>
      <c r="O681" s="12" t="str">
        <f aca="false">IF(OR(H681="",I681="",J681=""),"",IF(F681="Long",(I681-H681)*J681*IF(G681="",1,G681),(H681-I681)*J681*IF(G681="",1,G681)))</f>
        <v/>
      </c>
      <c r="P681" s="13" t="str">
        <f aca="false">IF(O681="","",O681-IF(N681="",0,N681))</f>
        <v/>
      </c>
      <c r="Q681" s="14" t="str">
        <f aca="false">IFERROR(IF(P681="","",P681/K681),"")</f>
        <v/>
      </c>
      <c r="R681" s="6"/>
      <c r="S681" s="5"/>
      <c r="T681" s="15"/>
    </row>
    <row r="682" customFormat="false" ht="18" hidden="false" customHeight="true" outlineLevel="0" collapsed="false">
      <c r="A682" s="16" t="str">
        <f aca="false">IF(B682&lt;&gt;"",ROW()-2,"")</f>
        <v/>
      </c>
      <c r="B682" s="17"/>
      <c r="C682" s="17"/>
      <c r="D682" s="18"/>
      <c r="E682" s="19"/>
      <c r="F682" s="18"/>
      <c r="G682" s="20"/>
      <c r="H682" s="21"/>
      <c r="I682" s="21"/>
      <c r="J682" s="22"/>
      <c r="K682" s="23" t="str">
        <f aca="false">IF(H682*J682=0,"",H682*J682)</f>
        <v/>
      </c>
      <c r="L682" s="24"/>
      <c r="M682" s="24"/>
      <c r="N682" s="23" t="str">
        <f aca="false">IF(L682+M682=0,"",L682+M682)</f>
        <v/>
      </c>
      <c r="O682" s="25" t="str">
        <f aca="false">IF(OR(H682="",I682="",J682=""),"",IF(F682="Long",(I682-H682)*J682*IF(G682="",1,G682),(H682-I682)*J682*IF(G682="",1,G682)))</f>
        <v/>
      </c>
      <c r="P682" s="26" t="str">
        <f aca="false">IF(O682="","",O682-IF(N682="",0,N682))</f>
        <v/>
      </c>
      <c r="Q682" s="27" t="str">
        <f aca="false">IFERROR(IF(P682="","",P682/K682),"")</f>
        <v/>
      </c>
      <c r="R682" s="19"/>
      <c r="S682" s="18"/>
      <c r="T682" s="28"/>
    </row>
    <row r="683" customFormat="false" ht="18" hidden="false" customHeight="true" outlineLevel="0" collapsed="false">
      <c r="A683" s="3" t="str">
        <f aca="false">IF(B683&lt;&gt;"",ROW()-2,"")</f>
        <v/>
      </c>
      <c r="B683" s="4"/>
      <c r="C683" s="4"/>
      <c r="D683" s="5"/>
      <c r="E683" s="6"/>
      <c r="F683" s="5"/>
      <c r="G683" s="7"/>
      <c r="H683" s="8"/>
      <c r="I683" s="8"/>
      <c r="J683" s="9"/>
      <c r="K683" s="10" t="str">
        <f aca="false">IF(H683*J683=0,"",H683*J683)</f>
        <v/>
      </c>
      <c r="L683" s="11"/>
      <c r="M683" s="11"/>
      <c r="N683" s="10" t="str">
        <f aca="false">IF(L683+M683=0,"",L683+M683)</f>
        <v/>
      </c>
      <c r="O683" s="12" t="str">
        <f aca="false">IF(OR(H683="",I683="",J683=""),"",IF(F683="Long",(I683-H683)*J683*IF(G683="",1,G683),(H683-I683)*J683*IF(G683="",1,G683)))</f>
        <v/>
      </c>
      <c r="P683" s="13" t="str">
        <f aca="false">IF(O683="","",O683-IF(N683="",0,N683))</f>
        <v/>
      </c>
      <c r="Q683" s="14" t="str">
        <f aca="false">IFERROR(IF(P683="","",P683/K683),"")</f>
        <v/>
      </c>
      <c r="R683" s="6"/>
      <c r="S683" s="5"/>
      <c r="T683" s="15"/>
    </row>
    <row r="684" customFormat="false" ht="18" hidden="false" customHeight="true" outlineLevel="0" collapsed="false">
      <c r="A684" s="16" t="str">
        <f aca="false">IF(B684&lt;&gt;"",ROW()-2,"")</f>
        <v/>
      </c>
      <c r="B684" s="17"/>
      <c r="C684" s="17"/>
      <c r="D684" s="18"/>
      <c r="E684" s="19"/>
      <c r="F684" s="18"/>
      <c r="G684" s="20"/>
      <c r="H684" s="21"/>
      <c r="I684" s="21"/>
      <c r="J684" s="22"/>
      <c r="K684" s="23" t="str">
        <f aca="false">IF(H684*J684=0,"",H684*J684)</f>
        <v/>
      </c>
      <c r="L684" s="24"/>
      <c r="M684" s="24"/>
      <c r="N684" s="23" t="str">
        <f aca="false">IF(L684+M684=0,"",L684+M684)</f>
        <v/>
      </c>
      <c r="O684" s="25" t="str">
        <f aca="false">IF(OR(H684="",I684="",J684=""),"",IF(F684="Long",(I684-H684)*J684*IF(G684="",1,G684),(H684-I684)*J684*IF(G684="",1,G684)))</f>
        <v/>
      </c>
      <c r="P684" s="26" t="str">
        <f aca="false">IF(O684="","",O684-IF(N684="",0,N684))</f>
        <v/>
      </c>
      <c r="Q684" s="27" t="str">
        <f aca="false">IFERROR(IF(P684="","",P684/K684),"")</f>
        <v/>
      </c>
      <c r="R684" s="19"/>
      <c r="S684" s="18"/>
      <c r="T684" s="28"/>
    </row>
    <row r="685" customFormat="false" ht="18" hidden="false" customHeight="true" outlineLevel="0" collapsed="false">
      <c r="A685" s="3" t="str">
        <f aca="false">IF(B685&lt;&gt;"",ROW()-2,"")</f>
        <v/>
      </c>
      <c r="B685" s="4"/>
      <c r="C685" s="4"/>
      <c r="D685" s="5"/>
      <c r="E685" s="6"/>
      <c r="F685" s="5"/>
      <c r="G685" s="7"/>
      <c r="H685" s="8"/>
      <c r="I685" s="8"/>
      <c r="J685" s="9"/>
      <c r="K685" s="10" t="str">
        <f aca="false">IF(H685*J685=0,"",H685*J685)</f>
        <v/>
      </c>
      <c r="L685" s="11"/>
      <c r="M685" s="11"/>
      <c r="N685" s="10" t="str">
        <f aca="false">IF(L685+M685=0,"",L685+M685)</f>
        <v/>
      </c>
      <c r="O685" s="12" t="str">
        <f aca="false">IF(OR(H685="",I685="",J685=""),"",IF(F685="Long",(I685-H685)*J685*IF(G685="",1,G685),(H685-I685)*J685*IF(G685="",1,G685)))</f>
        <v/>
      </c>
      <c r="P685" s="13" t="str">
        <f aca="false">IF(O685="","",O685-IF(N685="",0,N685))</f>
        <v/>
      </c>
      <c r="Q685" s="14" t="str">
        <f aca="false">IFERROR(IF(P685="","",P685/K685),"")</f>
        <v/>
      </c>
      <c r="R685" s="6"/>
      <c r="S685" s="5"/>
      <c r="T685" s="15"/>
    </row>
    <row r="686" customFormat="false" ht="18" hidden="false" customHeight="true" outlineLevel="0" collapsed="false">
      <c r="A686" s="16" t="str">
        <f aca="false">IF(B686&lt;&gt;"",ROW()-2,"")</f>
        <v/>
      </c>
      <c r="B686" s="17"/>
      <c r="C686" s="17"/>
      <c r="D686" s="18"/>
      <c r="E686" s="19"/>
      <c r="F686" s="18"/>
      <c r="G686" s="20"/>
      <c r="H686" s="21"/>
      <c r="I686" s="21"/>
      <c r="J686" s="22"/>
      <c r="K686" s="23" t="str">
        <f aca="false">IF(H686*J686=0,"",H686*J686)</f>
        <v/>
      </c>
      <c r="L686" s="24"/>
      <c r="M686" s="24"/>
      <c r="N686" s="23" t="str">
        <f aca="false">IF(L686+M686=0,"",L686+M686)</f>
        <v/>
      </c>
      <c r="O686" s="25" t="str">
        <f aca="false">IF(OR(H686="",I686="",J686=""),"",IF(F686="Long",(I686-H686)*J686*IF(G686="",1,G686),(H686-I686)*J686*IF(G686="",1,G686)))</f>
        <v/>
      </c>
      <c r="P686" s="26" t="str">
        <f aca="false">IF(O686="","",O686-IF(N686="",0,N686))</f>
        <v/>
      </c>
      <c r="Q686" s="27" t="str">
        <f aca="false">IFERROR(IF(P686="","",P686/K686),"")</f>
        <v/>
      </c>
      <c r="R686" s="19"/>
      <c r="S686" s="18"/>
      <c r="T686" s="28"/>
    </row>
    <row r="687" customFormat="false" ht="18" hidden="false" customHeight="true" outlineLevel="0" collapsed="false">
      <c r="A687" s="3" t="str">
        <f aca="false">IF(B687&lt;&gt;"",ROW()-2,"")</f>
        <v/>
      </c>
      <c r="B687" s="4"/>
      <c r="C687" s="4"/>
      <c r="D687" s="5"/>
      <c r="E687" s="6"/>
      <c r="F687" s="5"/>
      <c r="G687" s="7"/>
      <c r="H687" s="8"/>
      <c r="I687" s="8"/>
      <c r="J687" s="9"/>
      <c r="K687" s="10" t="str">
        <f aca="false">IF(H687*J687=0,"",H687*J687)</f>
        <v/>
      </c>
      <c r="L687" s="11"/>
      <c r="M687" s="11"/>
      <c r="N687" s="10" t="str">
        <f aca="false">IF(L687+M687=0,"",L687+M687)</f>
        <v/>
      </c>
      <c r="O687" s="12" t="str">
        <f aca="false">IF(OR(H687="",I687="",J687=""),"",IF(F687="Long",(I687-H687)*J687*IF(G687="",1,G687),(H687-I687)*J687*IF(G687="",1,G687)))</f>
        <v/>
      </c>
      <c r="P687" s="13" t="str">
        <f aca="false">IF(O687="","",O687-IF(N687="",0,N687))</f>
        <v/>
      </c>
      <c r="Q687" s="14" t="str">
        <f aca="false">IFERROR(IF(P687="","",P687/K687),"")</f>
        <v/>
      </c>
      <c r="R687" s="6"/>
      <c r="S687" s="5"/>
      <c r="T687" s="15"/>
    </row>
    <row r="688" customFormat="false" ht="18" hidden="false" customHeight="true" outlineLevel="0" collapsed="false">
      <c r="A688" s="16" t="str">
        <f aca="false">IF(B688&lt;&gt;"",ROW()-2,"")</f>
        <v/>
      </c>
      <c r="B688" s="17"/>
      <c r="C688" s="17"/>
      <c r="D688" s="18"/>
      <c r="E688" s="19"/>
      <c r="F688" s="18"/>
      <c r="G688" s="20"/>
      <c r="H688" s="21"/>
      <c r="I688" s="21"/>
      <c r="J688" s="22"/>
      <c r="K688" s="23" t="str">
        <f aca="false">IF(H688*J688=0,"",H688*J688)</f>
        <v/>
      </c>
      <c r="L688" s="24"/>
      <c r="M688" s="24"/>
      <c r="N688" s="23" t="str">
        <f aca="false">IF(L688+M688=0,"",L688+M688)</f>
        <v/>
      </c>
      <c r="O688" s="25" t="str">
        <f aca="false">IF(OR(H688="",I688="",J688=""),"",IF(F688="Long",(I688-H688)*J688*IF(G688="",1,G688),(H688-I688)*J688*IF(G688="",1,G688)))</f>
        <v/>
      </c>
      <c r="P688" s="26" t="str">
        <f aca="false">IF(O688="","",O688-IF(N688="",0,N688))</f>
        <v/>
      </c>
      <c r="Q688" s="27" t="str">
        <f aca="false">IFERROR(IF(P688="","",P688/K688),"")</f>
        <v/>
      </c>
      <c r="R688" s="19"/>
      <c r="S688" s="18"/>
      <c r="T688" s="28"/>
    </row>
    <row r="689" customFormat="false" ht="18" hidden="false" customHeight="true" outlineLevel="0" collapsed="false">
      <c r="A689" s="3" t="str">
        <f aca="false">IF(B689&lt;&gt;"",ROW()-2,"")</f>
        <v/>
      </c>
      <c r="B689" s="4"/>
      <c r="C689" s="4"/>
      <c r="D689" s="5"/>
      <c r="E689" s="6"/>
      <c r="F689" s="5"/>
      <c r="G689" s="7"/>
      <c r="H689" s="8"/>
      <c r="I689" s="8"/>
      <c r="J689" s="9"/>
      <c r="K689" s="10" t="str">
        <f aca="false">IF(H689*J689=0,"",H689*J689)</f>
        <v/>
      </c>
      <c r="L689" s="11"/>
      <c r="M689" s="11"/>
      <c r="N689" s="10" t="str">
        <f aca="false">IF(L689+M689=0,"",L689+M689)</f>
        <v/>
      </c>
      <c r="O689" s="12" t="str">
        <f aca="false">IF(OR(H689="",I689="",J689=""),"",IF(F689="Long",(I689-H689)*J689*IF(G689="",1,G689),(H689-I689)*J689*IF(G689="",1,G689)))</f>
        <v/>
      </c>
      <c r="P689" s="13" t="str">
        <f aca="false">IF(O689="","",O689-IF(N689="",0,N689))</f>
        <v/>
      </c>
      <c r="Q689" s="14" t="str">
        <f aca="false">IFERROR(IF(P689="","",P689/K689),"")</f>
        <v/>
      </c>
      <c r="R689" s="6"/>
      <c r="S689" s="5"/>
      <c r="T689" s="15"/>
    </row>
    <row r="690" customFormat="false" ht="18" hidden="false" customHeight="true" outlineLevel="0" collapsed="false">
      <c r="A690" s="16" t="str">
        <f aca="false">IF(B690&lt;&gt;"",ROW()-2,"")</f>
        <v/>
      </c>
      <c r="B690" s="17"/>
      <c r="C690" s="17"/>
      <c r="D690" s="18"/>
      <c r="E690" s="19"/>
      <c r="F690" s="18"/>
      <c r="G690" s="20"/>
      <c r="H690" s="21"/>
      <c r="I690" s="21"/>
      <c r="J690" s="22"/>
      <c r="K690" s="23" t="str">
        <f aca="false">IF(H690*J690=0,"",H690*J690)</f>
        <v/>
      </c>
      <c r="L690" s="24"/>
      <c r="M690" s="24"/>
      <c r="N690" s="23" t="str">
        <f aca="false">IF(L690+M690=0,"",L690+M690)</f>
        <v/>
      </c>
      <c r="O690" s="25" t="str">
        <f aca="false">IF(OR(H690="",I690="",J690=""),"",IF(F690="Long",(I690-H690)*J690*IF(G690="",1,G690),(H690-I690)*J690*IF(G690="",1,G690)))</f>
        <v/>
      </c>
      <c r="P690" s="26" t="str">
        <f aca="false">IF(O690="","",O690-IF(N690="",0,N690))</f>
        <v/>
      </c>
      <c r="Q690" s="27" t="str">
        <f aca="false">IFERROR(IF(P690="","",P690/K690),"")</f>
        <v/>
      </c>
      <c r="R690" s="19"/>
      <c r="S690" s="18"/>
      <c r="T690" s="28"/>
    </row>
    <row r="691" customFormat="false" ht="18" hidden="false" customHeight="true" outlineLevel="0" collapsed="false">
      <c r="A691" s="3" t="str">
        <f aca="false">IF(B691&lt;&gt;"",ROW()-2,"")</f>
        <v/>
      </c>
      <c r="B691" s="4"/>
      <c r="C691" s="4"/>
      <c r="D691" s="5"/>
      <c r="E691" s="6"/>
      <c r="F691" s="5"/>
      <c r="G691" s="7"/>
      <c r="H691" s="8"/>
      <c r="I691" s="8"/>
      <c r="J691" s="9"/>
      <c r="K691" s="10" t="str">
        <f aca="false">IF(H691*J691=0,"",H691*J691)</f>
        <v/>
      </c>
      <c r="L691" s="11"/>
      <c r="M691" s="11"/>
      <c r="N691" s="10" t="str">
        <f aca="false">IF(L691+M691=0,"",L691+M691)</f>
        <v/>
      </c>
      <c r="O691" s="12" t="str">
        <f aca="false">IF(OR(H691="",I691="",J691=""),"",IF(F691="Long",(I691-H691)*J691*IF(G691="",1,G691),(H691-I691)*J691*IF(G691="",1,G691)))</f>
        <v/>
      </c>
      <c r="P691" s="13" t="str">
        <f aca="false">IF(O691="","",O691-IF(N691="",0,N691))</f>
        <v/>
      </c>
      <c r="Q691" s="14" t="str">
        <f aca="false">IFERROR(IF(P691="","",P691/K691),"")</f>
        <v/>
      </c>
      <c r="R691" s="6"/>
      <c r="S691" s="5"/>
      <c r="T691" s="15"/>
    </row>
    <row r="692" customFormat="false" ht="18" hidden="false" customHeight="true" outlineLevel="0" collapsed="false">
      <c r="A692" s="16" t="str">
        <f aca="false">IF(B692&lt;&gt;"",ROW()-2,"")</f>
        <v/>
      </c>
      <c r="B692" s="17"/>
      <c r="C692" s="17"/>
      <c r="D692" s="18"/>
      <c r="E692" s="19"/>
      <c r="F692" s="18"/>
      <c r="G692" s="20"/>
      <c r="H692" s="21"/>
      <c r="I692" s="21"/>
      <c r="J692" s="22"/>
      <c r="K692" s="23" t="str">
        <f aca="false">IF(H692*J692=0,"",H692*J692)</f>
        <v/>
      </c>
      <c r="L692" s="24"/>
      <c r="M692" s="24"/>
      <c r="N692" s="23" t="str">
        <f aca="false">IF(L692+M692=0,"",L692+M692)</f>
        <v/>
      </c>
      <c r="O692" s="25" t="str">
        <f aca="false">IF(OR(H692="",I692="",J692=""),"",IF(F692="Long",(I692-H692)*J692*IF(G692="",1,G692),(H692-I692)*J692*IF(G692="",1,G692)))</f>
        <v/>
      </c>
      <c r="P692" s="26" t="str">
        <f aca="false">IF(O692="","",O692-IF(N692="",0,N692))</f>
        <v/>
      </c>
      <c r="Q692" s="27" t="str">
        <f aca="false">IFERROR(IF(P692="","",P692/K692),"")</f>
        <v/>
      </c>
      <c r="R692" s="19"/>
      <c r="S692" s="18"/>
      <c r="T692" s="28"/>
    </row>
    <row r="693" customFormat="false" ht="18" hidden="false" customHeight="true" outlineLevel="0" collapsed="false">
      <c r="A693" s="3" t="str">
        <f aca="false">IF(B693&lt;&gt;"",ROW()-2,"")</f>
        <v/>
      </c>
      <c r="B693" s="4"/>
      <c r="C693" s="4"/>
      <c r="D693" s="5"/>
      <c r="E693" s="6"/>
      <c r="F693" s="5"/>
      <c r="G693" s="7"/>
      <c r="H693" s="8"/>
      <c r="I693" s="8"/>
      <c r="J693" s="9"/>
      <c r="K693" s="10" t="str">
        <f aca="false">IF(H693*J693=0,"",H693*J693)</f>
        <v/>
      </c>
      <c r="L693" s="11"/>
      <c r="M693" s="11"/>
      <c r="N693" s="10" t="str">
        <f aca="false">IF(L693+M693=0,"",L693+M693)</f>
        <v/>
      </c>
      <c r="O693" s="12" t="str">
        <f aca="false">IF(OR(H693="",I693="",J693=""),"",IF(F693="Long",(I693-H693)*J693*IF(G693="",1,G693),(H693-I693)*J693*IF(G693="",1,G693)))</f>
        <v/>
      </c>
      <c r="P693" s="13" t="str">
        <f aca="false">IF(O693="","",O693-IF(N693="",0,N693))</f>
        <v/>
      </c>
      <c r="Q693" s="14" t="str">
        <f aca="false">IFERROR(IF(P693="","",P693/K693),"")</f>
        <v/>
      </c>
      <c r="R693" s="6"/>
      <c r="S693" s="5"/>
      <c r="T693" s="15"/>
    </row>
    <row r="694" customFormat="false" ht="18" hidden="false" customHeight="true" outlineLevel="0" collapsed="false">
      <c r="A694" s="16" t="str">
        <f aca="false">IF(B694&lt;&gt;"",ROW()-2,"")</f>
        <v/>
      </c>
      <c r="B694" s="17"/>
      <c r="C694" s="17"/>
      <c r="D694" s="18"/>
      <c r="E694" s="19"/>
      <c r="F694" s="18"/>
      <c r="G694" s="20"/>
      <c r="H694" s="21"/>
      <c r="I694" s="21"/>
      <c r="J694" s="22"/>
      <c r="K694" s="23" t="str">
        <f aca="false">IF(H694*J694=0,"",H694*J694)</f>
        <v/>
      </c>
      <c r="L694" s="24"/>
      <c r="M694" s="24"/>
      <c r="N694" s="23" t="str">
        <f aca="false">IF(L694+M694=0,"",L694+M694)</f>
        <v/>
      </c>
      <c r="O694" s="25" t="str">
        <f aca="false">IF(OR(H694="",I694="",J694=""),"",IF(F694="Long",(I694-H694)*J694*IF(G694="",1,G694),(H694-I694)*J694*IF(G694="",1,G694)))</f>
        <v/>
      </c>
      <c r="P694" s="26" t="str">
        <f aca="false">IF(O694="","",O694-IF(N694="",0,N694))</f>
        <v/>
      </c>
      <c r="Q694" s="27" t="str">
        <f aca="false">IFERROR(IF(P694="","",P694/K694),"")</f>
        <v/>
      </c>
      <c r="R694" s="19"/>
      <c r="S694" s="18"/>
      <c r="T694" s="28"/>
    </row>
    <row r="695" customFormat="false" ht="18" hidden="false" customHeight="true" outlineLevel="0" collapsed="false">
      <c r="A695" s="3" t="str">
        <f aca="false">IF(B695&lt;&gt;"",ROW()-2,"")</f>
        <v/>
      </c>
      <c r="B695" s="4"/>
      <c r="C695" s="4"/>
      <c r="D695" s="5"/>
      <c r="E695" s="6"/>
      <c r="F695" s="5"/>
      <c r="G695" s="7"/>
      <c r="H695" s="8"/>
      <c r="I695" s="8"/>
      <c r="J695" s="9"/>
      <c r="K695" s="10" t="str">
        <f aca="false">IF(H695*J695=0,"",H695*J695)</f>
        <v/>
      </c>
      <c r="L695" s="11"/>
      <c r="M695" s="11"/>
      <c r="N695" s="10" t="str">
        <f aca="false">IF(L695+M695=0,"",L695+M695)</f>
        <v/>
      </c>
      <c r="O695" s="12" t="str">
        <f aca="false">IF(OR(H695="",I695="",J695=""),"",IF(F695="Long",(I695-H695)*J695*IF(G695="",1,G695),(H695-I695)*J695*IF(G695="",1,G695)))</f>
        <v/>
      </c>
      <c r="P695" s="13" t="str">
        <f aca="false">IF(O695="","",O695-IF(N695="",0,N695))</f>
        <v/>
      </c>
      <c r="Q695" s="14" t="str">
        <f aca="false">IFERROR(IF(P695="","",P695/K695),"")</f>
        <v/>
      </c>
      <c r="R695" s="6"/>
      <c r="S695" s="5"/>
      <c r="T695" s="15"/>
    </row>
    <row r="696" customFormat="false" ht="18" hidden="false" customHeight="true" outlineLevel="0" collapsed="false">
      <c r="A696" s="16" t="str">
        <f aca="false">IF(B696&lt;&gt;"",ROW()-2,"")</f>
        <v/>
      </c>
      <c r="B696" s="17"/>
      <c r="C696" s="17"/>
      <c r="D696" s="18"/>
      <c r="E696" s="19"/>
      <c r="F696" s="18"/>
      <c r="G696" s="20"/>
      <c r="H696" s="21"/>
      <c r="I696" s="21"/>
      <c r="J696" s="22"/>
      <c r="K696" s="23" t="str">
        <f aca="false">IF(H696*J696=0,"",H696*J696)</f>
        <v/>
      </c>
      <c r="L696" s="24"/>
      <c r="M696" s="24"/>
      <c r="N696" s="23" t="str">
        <f aca="false">IF(L696+M696=0,"",L696+M696)</f>
        <v/>
      </c>
      <c r="O696" s="25" t="str">
        <f aca="false">IF(OR(H696="",I696="",J696=""),"",IF(F696="Long",(I696-H696)*J696*IF(G696="",1,G696),(H696-I696)*J696*IF(G696="",1,G696)))</f>
        <v/>
      </c>
      <c r="P696" s="26" t="str">
        <f aca="false">IF(O696="","",O696-IF(N696="",0,N696))</f>
        <v/>
      </c>
      <c r="Q696" s="27" t="str">
        <f aca="false">IFERROR(IF(P696="","",P696/K696),"")</f>
        <v/>
      </c>
      <c r="R696" s="19"/>
      <c r="S696" s="18"/>
      <c r="T696" s="28"/>
    </row>
    <row r="697" customFormat="false" ht="18" hidden="false" customHeight="true" outlineLevel="0" collapsed="false">
      <c r="A697" s="3" t="str">
        <f aca="false">IF(B697&lt;&gt;"",ROW()-2,"")</f>
        <v/>
      </c>
      <c r="B697" s="4"/>
      <c r="C697" s="4"/>
      <c r="D697" s="5"/>
      <c r="E697" s="6"/>
      <c r="F697" s="5"/>
      <c r="G697" s="7"/>
      <c r="H697" s="8"/>
      <c r="I697" s="8"/>
      <c r="J697" s="9"/>
      <c r="K697" s="10" t="str">
        <f aca="false">IF(H697*J697=0,"",H697*J697)</f>
        <v/>
      </c>
      <c r="L697" s="11"/>
      <c r="M697" s="11"/>
      <c r="N697" s="10" t="str">
        <f aca="false">IF(L697+M697=0,"",L697+M697)</f>
        <v/>
      </c>
      <c r="O697" s="12" t="str">
        <f aca="false">IF(OR(H697="",I697="",J697=""),"",IF(F697="Long",(I697-H697)*J697*IF(G697="",1,G697),(H697-I697)*J697*IF(G697="",1,G697)))</f>
        <v/>
      </c>
      <c r="P697" s="13" t="str">
        <f aca="false">IF(O697="","",O697-IF(N697="",0,N697))</f>
        <v/>
      </c>
      <c r="Q697" s="14" t="str">
        <f aca="false">IFERROR(IF(P697="","",P697/K697),"")</f>
        <v/>
      </c>
      <c r="R697" s="6"/>
      <c r="S697" s="5"/>
      <c r="T697" s="15"/>
    </row>
    <row r="698" customFormat="false" ht="18" hidden="false" customHeight="true" outlineLevel="0" collapsed="false">
      <c r="A698" s="16" t="str">
        <f aca="false">IF(B698&lt;&gt;"",ROW()-2,"")</f>
        <v/>
      </c>
      <c r="B698" s="17"/>
      <c r="C698" s="17"/>
      <c r="D698" s="18"/>
      <c r="E698" s="19"/>
      <c r="F698" s="18"/>
      <c r="G698" s="20"/>
      <c r="H698" s="21"/>
      <c r="I698" s="21"/>
      <c r="J698" s="22"/>
      <c r="K698" s="23" t="str">
        <f aca="false">IF(H698*J698=0,"",H698*J698)</f>
        <v/>
      </c>
      <c r="L698" s="24"/>
      <c r="M698" s="24"/>
      <c r="N698" s="23" t="str">
        <f aca="false">IF(L698+M698=0,"",L698+M698)</f>
        <v/>
      </c>
      <c r="O698" s="25" t="str">
        <f aca="false">IF(OR(H698="",I698="",J698=""),"",IF(F698="Long",(I698-H698)*J698*IF(G698="",1,G698),(H698-I698)*J698*IF(G698="",1,G698)))</f>
        <v/>
      </c>
      <c r="P698" s="26" t="str">
        <f aca="false">IF(O698="","",O698-IF(N698="",0,N698))</f>
        <v/>
      </c>
      <c r="Q698" s="27" t="str">
        <f aca="false">IFERROR(IF(P698="","",P698/K698),"")</f>
        <v/>
      </c>
      <c r="R698" s="19"/>
      <c r="S698" s="18"/>
      <c r="T698" s="28"/>
    </row>
    <row r="699" customFormat="false" ht="18" hidden="false" customHeight="true" outlineLevel="0" collapsed="false">
      <c r="A699" s="3" t="str">
        <f aca="false">IF(B699&lt;&gt;"",ROW()-2,"")</f>
        <v/>
      </c>
      <c r="B699" s="4"/>
      <c r="C699" s="4"/>
      <c r="D699" s="5"/>
      <c r="E699" s="6"/>
      <c r="F699" s="5"/>
      <c r="G699" s="7"/>
      <c r="H699" s="8"/>
      <c r="I699" s="8"/>
      <c r="J699" s="9"/>
      <c r="K699" s="10" t="str">
        <f aca="false">IF(H699*J699=0,"",H699*J699)</f>
        <v/>
      </c>
      <c r="L699" s="11"/>
      <c r="M699" s="11"/>
      <c r="N699" s="10" t="str">
        <f aca="false">IF(L699+M699=0,"",L699+M699)</f>
        <v/>
      </c>
      <c r="O699" s="12" t="str">
        <f aca="false">IF(OR(H699="",I699="",J699=""),"",IF(F699="Long",(I699-H699)*J699*IF(G699="",1,G699),(H699-I699)*J699*IF(G699="",1,G699)))</f>
        <v/>
      </c>
      <c r="P699" s="13" t="str">
        <f aca="false">IF(O699="","",O699-IF(N699="",0,N699))</f>
        <v/>
      </c>
      <c r="Q699" s="14" t="str">
        <f aca="false">IFERROR(IF(P699="","",P699/K699),"")</f>
        <v/>
      </c>
      <c r="R699" s="6"/>
      <c r="S699" s="5"/>
      <c r="T699" s="15"/>
    </row>
    <row r="700" customFormat="false" ht="18" hidden="false" customHeight="true" outlineLevel="0" collapsed="false">
      <c r="A700" s="16" t="str">
        <f aca="false">IF(B700&lt;&gt;"",ROW()-2,"")</f>
        <v/>
      </c>
      <c r="B700" s="17"/>
      <c r="C700" s="17"/>
      <c r="D700" s="18"/>
      <c r="E700" s="19"/>
      <c r="F700" s="18"/>
      <c r="G700" s="20"/>
      <c r="H700" s="21"/>
      <c r="I700" s="21"/>
      <c r="J700" s="22"/>
      <c r="K700" s="23" t="str">
        <f aca="false">IF(H700*J700=0,"",H700*J700)</f>
        <v/>
      </c>
      <c r="L700" s="24"/>
      <c r="M700" s="24"/>
      <c r="N700" s="23" t="str">
        <f aca="false">IF(L700+M700=0,"",L700+M700)</f>
        <v/>
      </c>
      <c r="O700" s="25" t="str">
        <f aca="false">IF(OR(H700="",I700="",J700=""),"",IF(F700="Long",(I700-H700)*J700*IF(G700="",1,G700),(H700-I700)*J700*IF(G700="",1,G700)))</f>
        <v/>
      </c>
      <c r="P700" s="26" t="str">
        <f aca="false">IF(O700="","",O700-IF(N700="",0,N700))</f>
        <v/>
      </c>
      <c r="Q700" s="27" t="str">
        <f aca="false">IFERROR(IF(P700="","",P700/K700),"")</f>
        <v/>
      </c>
      <c r="R700" s="19"/>
      <c r="S700" s="18"/>
      <c r="T700" s="28"/>
    </row>
    <row r="701" customFormat="false" ht="18" hidden="false" customHeight="true" outlineLevel="0" collapsed="false">
      <c r="A701" s="3" t="str">
        <f aca="false">IF(B701&lt;&gt;"",ROW()-2,"")</f>
        <v/>
      </c>
      <c r="B701" s="4"/>
      <c r="C701" s="4"/>
      <c r="D701" s="5"/>
      <c r="E701" s="6"/>
      <c r="F701" s="5"/>
      <c r="G701" s="7"/>
      <c r="H701" s="8"/>
      <c r="I701" s="8"/>
      <c r="J701" s="9"/>
      <c r="K701" s="10" t="str">
        <f aca="false">IF(H701*J701=0,"",H701*J701)</f>
        <v/>
      </c>
      <c r="L701" s="11"/>
      <c r="M701" s="11"/>
      <c r="N701" s="10" t="str">
        <f aca="false">IF(L701+M701=0,"",L701+M701)</f>
        <v/>
      </c>
      <c r="O701" s="12" t="str">
        <f aca="false">IF(OR(H701="",I701="",J701=""),"",IF(F701="Long",(I701-H701)*J701*IF(G701="",1,G701),(H701-I701)*J701*IF(G701="",1,G701)))</f>
        <v/>
      </c>
      <c r="P701" s="13" t="str">
        <f aca="false">IF(O701="","",O701-IF(N701="",0,N701))</f>
        <v/>
      </c>
      <c r="Q701" s="14" t="str">
        <f aca="false">IFERROR(IF(P701="","",P701/K701),"")</f>
        <v/>
      </c>
      <c r="R701" s="6"/>
      <c r="S701" s="5"/>
      <c r="T701" s="15"/>
    </row>
    <row r="702" customFormat="false" ht="18" hidden="false" customHeight="true" outlineLevel="0" collapsed="false">
      <c r="A702" s="16" t="str">
        <f aca="false">IF(B702&lt;&gt;"",ROW()-2,"")</f>
        <v/>
      </c>
      <c r="B702" s="17"/>
      <c r="C702" s="17"/>
      <c r="D702" s="18"/>
      <c r="E702" s="19"/>
      <c r="F702" s="18"/>
      <c r="G702" s="20"/>
      <c r="H702" s="21"/>
      <c r="I702" s="21"/>
      <c r="J702" s="22"/>
      <c r="K702" s="23" t="str">
        <f aca="false">IF(H702*J702=0,"",H702*J702)</f>
        <v/>
      </c>
      <c r="L702" s="24"/>
      <c r="M702" s="24"/>
      <c r="N702" s="23" t="str">
        <f aca="false">IF(L702+M702=0,"",L702+M702)</f>
        <v/>
      </c>
      <c r="O702" s="25" t="str">
        <f aca="false">IF(OR(H702="",I702="",J702=""),"",IF(F702="Long",(I702-H702)*J702*IF(G702="",1,G702),(H702-I702)*J702*IF(G702="",1,G702)))</f>
        <v/>
      </c>
      <c r="P702" s="26" t="str">
        <f aca="false">IF(O702="","",O702-IF(N702="",0,N702))</f>
        <v/>
      </c>
      <c r="Q702" s="27" t="str">
        <f aca="false">IFERROR(IF(P702="","",P702/K702),"")</f>
        <v/>
      </c>
      <c r="R702" s="19"/>
      <c r="S702" s="18"/>
      <c r="T702" s="28"/>
    </row>
    <row r="703" customFormat="false" ht="18" hidden="false" customHeight="true" outlineLevel="0" collapsed="false">
      <c r="A703" s="3" t="str">
        <f aca="false">IF(B703&lt;&gt;"",ROW()-2,"")</f>
        <v/>
      </c>
      <c r="B703" s="4"/>
      <c r="C703" s="4"/>
      <c r="D703" s="5"/>
      <c r="E703" s="6"/>
      <c r="F703" s="5"/>
      <c r="G703" s="7"/>
      <c r="H703" s="8"/>
      <c r="I703" s="8"/>
      <c r="J703" s="9"/>
      <c r="K703" s="10" t="str">
        <f aca="false">IF(H703*J703=0,"",H703*J703)</f>
        <v/>
      </c>
      <c r="L703" s="11"/>
      <c r="M703" s="11"/>
      <c r="N703" s="10" t="str">
        <f aca="false">IF(L703+M703=0,"",L703+M703)</f>
        <v/>
      </c>
      <c r="O703" s="12" t="str">
        <f aca="false">IF(OR(H703="",I703="",J703=""),"",IF(F703="Long",(I703-H703)*J703*IF(G703="",1,G703),(H703-I703)*J703*IF(G703="",1,G703)))</f>
        <v/>
      </c>
      <c r="P703" s="13" t="str">
        <f aca="false">IF(O703="","",O703-IF(N703="",0,N703))</f>
        <v/>
      </c>
      <c r="Q703" s="14" t="str">
        <f aca="false">IFERROR(IF(P703="","",P703/K703),"")</f>
        <v/>
      </c>
      <c r="R703" s="6"/>
      <c r="S703" s="5"/>
      <c r="T703" s="15"/>
    </row>
    <row r="704" customFormat="false" ht="18" hidden="false" customHeight="true" outlineLevel="0" collapsed="false">
      <c r="A704" s="16" t="str">
        <f aca="false">IF(B704&lt;&gt;"",ROW()-2,"")</f>
        <v/>
      </c>
      <c r="B704" s="17"/>
      <c r="C704" s="17"/>
      <c r="D704" s="18"/>
      <c r="E704" s="19"/>
      <c r="F704" s="18"/>
      <c r="G704" s="20"/>
      <c r="H704" s="21"/>
      <c r="I704" s="21"/>
      <c r="J704" s="22"/>
      <c r="K704" s="23" t="str">
        <f aca="false">IF(H704*J704=0,"",H704*J704)</f>
        <v/>
      </c>
      <c r="L704" s="24"/>
      <c r="M704" s="24"/>
      <c r="N704" s="23" t="str">
        <f aca="false">IF(L704+M704=0,"",L704+M704)</f>
        <v/>
      </c>
      <c r="O704" s="25" t="str">
        <f aca="false">IF(OR(H704="",I704="",J704=""),"",IF(F704="Long",(I704-H704)*J704*IF(G704="",1,G704),(H704-I704)*J704*IF(G704="",1,G704)))</f>
        <v/>
      </c>
      <c r="P704" s="26" t="str">
        <f aca="false">IF(O704="","",O704-IF(N704="",0,N704))</f>
        <v/>
      </c>
      <c r="Q704" s="27" t="str">
        <f aca="false">IFERROR(IF(P704="","",P704/K704),"")</f>
        <v/>
      </c>
      <c r="R704" s="19"/>
      <c r="S704" s="18"/>
      <c r="T704" s="28"/>
    </row>
    <row r="705" customFormat="false" ht="18" hidden="false" customHeight="true" outlineLevel="0" collapsed="false">
      <c r="A705" s="3" t="str">
        <f aca="false">IF(B705&lt;&gt;"",ROW()-2,"")</f>
        <v/>
      </c>
      <c r="B705" s="4"/>
      <c r="C705" s="4"/>
      <c r="D705" s="5"/>
      <c r="E705" s="6"/>
      <c r="F705" s="5"/>
      <c r="G705" s="7"/>
      <c r="H705" s="8"/>
      <c r="I705" s="8"/>
      <c r="J705" s="9"/>
      <c r="K705" s="10" t="str">
        <f aca="false">IF(H705*J705=0,"",H705*J705)</f>
        <v/>
      </c>
      <c r="L705" s="11"/>
      <c r="M705" s="11"/>
      <c r="N705" s="10" t="str">
        <f aca="false">IF(L705+M705=0,"",L705+M705)</f>
        <v/>
      </c>
      <c r="O705" s="12" t="str">
        <f aca="false">IF(OR(H705="",I705="",J705=""),"",IF(F705="Long",(I705-H705)*J705*IF(G705="",1,G705),(H705-I705)*J705*IF(G705="",1,G705)))</f>
        <v/>
      </c>
      <c r="P705" s="13" t="str">
        <f aca="false">IF(O705="","",O705-IF(N705="",0,N705))</f>
        <v/>
      </c>
      <c r="Q705" s="14" t="str">
        <f aca="false">IFERROR(IF(P705="","",P705/K705),"")</f>
        <v/>
      </c>
      <c r="R705" s="6"/>
      <c r="S705" s="5"/>
      <c r="T705" s="15"/>
    </row>
    <row r="706" customFormat="false" ht="18" hidden="false" customHeight="true" outlineLevel="0" collapsed="false">
      <c r="A706" s="16" t="str">
        <f aca="false">IF(B706&lt;&gt;"",ROW()-2,"")</f>
        <v/>
      </c>
      <c r="B706" s="17"/>
      <c r="C706" s="17"/>
      <c r="D706" s="18"/>
      <c r="E706" s="19"/>
      <c r="F706" s="18"/>
      <c r="G706" s="20"/>
      <c r="H706" s="21"/>
      <c r="I706" s="21"/>
      <c r="J706" s="22"/>
      <c r="K706" s="23" t="str">
        <f aca="false">IF(H706*J706=0,"",H706*J706)</f>
        <v/>
      </c>
      <c r="L706" s="24"/>
      <c r="M706" s="24"/>
      <c r="N706" s="23" t="str">
        <f aca="false">IF(L706+M706=0,"",L706+M706)</f>
        <v/>
      </c>
      <c r="O706" s="25" t="str">
        <f aca="false">IF(OR(H706="",I706="",J706=""),"",IF(F706="Long",(I706-H706)*J706*IF(G706="",1,G706),(H706-I706)*J706*IF(G706="",1,G706)))</f>
        <v/>
      </c>
      <c r="P706" s="26" t="str">
        <f aca="false">IF(O706="","",O706-IF(N706="",0,N706))</f>
        <v/>
      </c>
      <c r="Q706" s="27" t="str">
        <f aca="false">IFERROR(IF(P706="","",P706/K706),"")</f>
        <v/>
      </c>
      <c r="R706" s="19"/>
      <c r="S706" s="18"/>
      <c r="T706" s="28"/>
    </row>
    <row r="707" customFormat="false" ht="18" hidden="false" customHeight="true" outlineLevel="0" collapsed="false">
      <c r="A707" s="3" t="str">
        <f aca="false">IF(B707&lt;&gt;"",ROW()-2,"")</f>
        <v/>
      </c>
      <c r="B707" s="4"/>
      <c r="C707" s="4"/>
      <c r="D707" s="5"/>
      <c r="E707" s="6"/>
      <c r="F707" s="5"/>
      <c r="G707" s="7"/>
      <c r="H707" s="8"/>
      <c r="I707" s="8"/>
      <c r="J707" s="9"/>
      <c r="K707" s="10" t="str">
        <f aca="false">IF(H707*J707=0,"",H707*J707)</f>
        <v/>
      </c>
      <c r="L707" s="11"/>
      <c r="M707" s="11"/>
      <c r="N707" s="10" t="str">
        <f aca="false">IF(L707+M707=0,"",L707+M707)</f>
        <v/>
      </c>
      <c r="O707" s="12" t="str">
        <f aca="false">IF(OR(H707="",I707="",J707=""),"",IF(F707="Long",(I707-H707)*J707*IF(G707="",1,G707),(H707-I707)*J707*IF(G707="",1,G707)))</f>
        <v/>
      </c>
      <c r="P707" s="13" t="str">
        <f aca="false">IF(O707="","",O707-IF(N707="",0,N707))</f>
        <v/>
      </c>
      <c r="Q707" s="14" t="str">
        <f aca="false">IFERROR(IF(P707="","",P707/K707),"")</f>
        <v/>
      </c>
      <c r="R707" s="6"/>
      <c r="S707" s="5"/>
      <c r="T707" s="15"/>
    </row>
    <row r="708" customFormat="false" ht="18" hidden="false" customHeight="true" outlineLevel="0" collapsed="false">
      <c r="A708" s="16" t="str">
        <f aca="false">IF(B708&lt;&gt;"",ROW()-2,"")</f>
        <v/>
      </c>
      <c r="B708" s="17"/>
      <c r="C708" s="17"/>
      <c r="D708" s="18"/>
      <c r="E708" s="19"/>
      <c r="F708" s="18"/>
      <c r="G708" s="20"/>
      <c r="H708" s="21"/>
      <c r="I708" s="21"/>
      <c r="J708" s="22"/>
      <c r="K708" s="23" t="str">
        <f aca="false">IF(H708*J708=0,"",H708*J708)</f>
        <v/>
      </c>
      <c r="L708" s="24"/>
      <c r="M708" s="24"/>
      <c r="N708" s="23" t="str">
        <f aca="false">IF(L708+M708=0,"",L708+M708)</f>
        <v/>
      </c>
      <c r="O708" s="25" t="str">
        <f aca="false">IF(OR(H708="",I708="",J708=""),"",IF(F708="Long",(I708-H708)*J708*IF(G708="",1,G708),(H708-I708)*J708*IF(G708="",1,G708)))</f>
        <v/>
      </c>
      <c r="P708" s="26" t="str">
        <f aca="false">IF(O708="","",O708-IF(N708="",0,N708))</f>
        <v/>
      </c>
      <c r="Q708" s="27" t="str">
        <f aca="false">IFERROR(IF(P708="","",P708/K708),"")</f>
        <v/>
      </c>
      <c r="R708" s="19"/>
      <c r="S708" s="18"/>
      <c r="T708" s="28"/>
    </row>
    <row r="709" customFormat="false" ht="18" hidden="false" customHeight="true" outlineLevel="0" collapsed="false">
      <c r="A709" s="3" t="str">
        <f aca="false">IF(B709&lt;&gt;"",ROW()-2,"")</f>
        <v/>
      </c>
      <c r="B709" s="4"/>
      <c r="C709" s="4"/>
      <c r="D709" s="5"/>
      <c r="E709" s="6"/>
      <c r="F709" s="5"/>
      <c r="G709" s="7"/>
      <c r="H709" s="8"/>
      <c r="I709" s="8"/>
      <c r="J709" s="9"/>
      <c r="K709" s="10" t="str">
        <f aca="false">IF(H709*J709=0,"",H709*J709)</f>
        <v/>
      </c>
      <c r="L709" s="11"/>
      <c r="M709" s="11"/>
      <c r="N709" s="10" t="str">
        <f aca="false">IF(L709+M709=0,"",L709+M709)</f>
        <v/>
      </c>
      <c r="O709" s="12" t="str">
        <f aca="false">IF(OR(H709="",I709="",J709=""),"",IF(F709="Long",(I709-H709)*J709*IF(G709="",1,G709),(H709-I709)*J709*IF(G709="",1,G709)))</f>
        <v/>
      </c>
      <c r="P709" s="13" t="str">
        <f aca="false">IF(O709="","",O709-IF(N709="",0,N709))</f>
        <v/>
      </c>
      <c r="Q709" s="14" t="str">
        <f aca="false">IFERROR(IF(P709="","",P709/K709),"")</f>
        <v/>
      </c>
      <c r="R709" s="6"/>
      <c r="S709" s="5"/>
      <c r="T709" s="15"/>
    </row>
    <row r="710" customFormat="false" ht="18" hidden="false" customHeight="true" outlineLevel="0" collapsed="false">
      <c r="A710" s="16" t="str">
        <f aca="false">IF(B710&lt;&gt;"",ROW()-2,"")</f>
        <v/>
      </c>
      <c r="B710" s="17"/>
      <c r="C710" s="17"/>
      <c r="D710" s="18"/>
      <c r="E710" s="19"/>
      <c r="F710" s="18"/>
      <c r="G710" s="20"/>
      <c r="H710" s="21"/>
      <c r="I710" s="21"/>
      <c r="J710" s="22"/>
      <c r="K710" s="23" t="str">
        <f aca="false">IF(H710*J710=0,"",H710*J710)</f>
        <v/>
      </c>
      <c r="L710" s="24"/>
      <c r="M710" s="24"/>
      <c r="N710" s="23" t="str">
        <f aca="false">IF(L710+M710=0,"",L710+M710)</f>
        <v/>
      </c>
      <c r="O710" s="25" t="str">
        <f aca="false">IF(OR(H710="",I710="",J710=""),"",IF(F710="Long",(I710-H710)*J710*IF(G710="",1,G710),(H710-I710)*J710*IF(G710="",1,G710)))</f>
        <v/>
      </c>
      <c r="P710" s="26" t="str">
        <f aca="false">IF(O710="","",O710-IF(N710="",0,N710))</f>
        <v/>
      </c>
      <c r="Q710" s="27" t="str">
        <f aca="false">IFERROR(IF(P710="","",P710/K710),"")</f>
        <v/>
      </c>
      <c r="R710" s="19"/>
      <c r="S710" s="18"/>
      <c r="T710" s="28"/>
    </row>
    <row r="711" customFormat="false" ht="18" hidden="false" customHeight="true" outlineLevel="0" collapsed="false">
      <c r="A711" s="3" t="str">
        <f aca="false">IF(B711&lt;&gt;"",ROW()-2,"")</f>
        <v/>
      </c>
      <c r="B711" s="4"/>
      <c r="C711" s="4"/>
      <c r="D711" s="5"/>
      <c r="E711" s="6"/>
      <c r="F711" s="5"/>
      <c r="G711" s="7"/>
      <c r="H711" s="8"/>
      <c r="I711" s="8"/>
      <c r="J711" s="9"/>
      <c r="K711" s="10" t="str">
        <f aca="false">IF(H711*J711=0,"",H711*J711)</f>
        <v/>
      </c>
      <c r="L711" s="11"/>
      <c r="M711" s="11"/>
      <c r="N711" s="10" t="str">
        <f aca="false">IF(L711+M711=0,"",L711+M711)</f>
        <v/>
      </c>
      <c r="O711" s="12" t="str">
        <f aca="false">IF(OR(H711="",I711="",J711=""),"",IF(F711="Long",(I711-H711)*J711*IF(G711="",1,G711),(H711-I711)*J711*IF(G711="",1,G711)))</f>
        <v/>
      </c>
      <c r="P711" s="13" t="str">
        <f aca="false">IF(O711="","",O711-IF(N711="",0,N711))</f>
        <v/>
      </c>
      <c r="Q711" s="14" t="str">
        <f aca="false">IFERROR(IF(P711="","",P711/K711),"")</f>
        <v/>
      </c>
      <c r="R711" s="6"/>
      <c r="S711" s="5"/>
      <c r="T711" s="15"/>
    </row>
    <row r="712" customFormat="false" ht="18" hidden="false" customHeight="true" outlineLevel="0" collapsed="false">
      <c r="A712" s="16" t="str">
        <f aca="false">IF(B712&lt;&gt;"",ROW()-2,"")</f>
        <v/>
      </c>
      <c r="B712" s="17"/>
      <c r="C712" s="17"/>
      <c r="D712" s="18"/>
      <c r="E712" s="19"/>
      <c r="F712" s="18"/>
      <c r="G712" s="20"/>
      <c r="H712" s="21"/>
      <c r="I712" s="21"/>
      <c r="J712" s="22"/>
      <c r="K712" s="23" t="str">
        <f aca="false">IF(H712*J712=0,"",H712*J712)</f>
        <v/>
      </c>
      <c r="L712" s="24"/>
      <c r="M712" s="24"/>
      <c r="N712" s="23" t="str">
        <f aca="false">IF(L712+M712=0,"",L712+M712)</f>
        <v/>
      </c>
      <c r="O712" s="25" t="str">
        <f aca="false">IF(OR(H712="",I712="",J712=""),"",IF(F712="Long",(I712-H712)*J712*IF(G712="",1,G712),(H712-I712)*J712*IF(G712="",1,G712)))</f>
        <v/>
      </c>
      <c r="P712" s="26" t="str">
        <f aca="false">IF(O712="","",O712-IF(N712="",0,N712))</f>
        <v/>
      </c>
      <c r="Q712" s="27" t="str">
        <f aca="false">IFERROR(IF(P712="","",P712/K712),"")</f>
        <v/>
      </c>
      <c r="R712" s="19"/>
      <c r="S712" s="18"/>
      <c r="T712" s="28"/>
    </row>
    <row r="713" customFormat="false" ht="18" hidden="false" customHeight="true" outlineLevel="0" collapsed="false">
      <c r="A713" s="3" t="str">
        <f aca="false">IF(B713&lt;&gt;"",ROW()-2,"")</f>
        <v/>
      </c>
      <c r="B713" s="4"/>
      <c r="C713" s="4"/>
      <c r="D713" s="5"/>
      <c r="E713" s="6"/>
      <c r="F713" s="5"/>
      <c r="G713" s="7"/>
      <c r="H713" s="8"/>
      <c r="I713" s="8"/>
      <c r="J713" s="9"/>
      <c r="K713" s="10" t="str">
        <f aca="false">IF(H713*J713=0,"",H713*J713)</f>
        <v/>
      </c>
      <c r="L713" s="11"/>
      <c r="M713" s="11"/>
      <c r="N713" s="10" t="str">
        <f aca="false">IF(L713+M713=0,"",L713+M713)</f>
        <v/>
      </c>
      <c r="O713" s="12" t="str">
        <f aca="false">IF(OR(H713="",I713="",J713=""),"",IF(F713="Long",(I713-H713)*J713*IF(G713="",1,G713),(H713-I713)*J713*IF(G713="",1,G713)))</f>
        <v/>
      </c>
      <c r="P713" s="13" t="str">
        <f aca="false">IF(O713="","",O713-IF(N713="",0,N713))</f>
        <v/>
      </c>
      <c r="Q713" s="14" t="str">
        <f aca="false">IFERROR(IF(P713="","",P713/K713),"")</f>
        <v/>
      </c>
      <c r="R713" s="6"/>
      <c r="S713" s="5"/>
      <c r="T713" s="15"/>
    </row>
    <row r="714" customFormat="false" ht="18" hidden="false" customHeight="true" outlineLevel="0" collapsed="false">
      <c r="A714" s="16" t="str">
        <f aca="false">IF(B714&lt;&gt;"",ROW()-2,"")</f>
        <v/>
      </c>
      <c r="B714" s="17"/>
      <c r="C714" s="17"/>
      <c r="D714" s="18"/>
      <c r="E714" s="19"/>
      <c r="F714" s="18"/>
      <c r="G714" s="20"/>
      <c r="H714" s="21"/>
      <c r="I714" s="21"/>
      <c r="J714" s="22"/>
      <c r="K714" s="23" t="str">
        <f aca="false">IF(H714*J714=0,"",H714*J714)</f>
        <v/>
      </c>
      <c r="L714" s="24"/>
      <c r="M714" s="24"/>
      <c r="N714" s="23" t="str">
        <f aca="false">IF(L714+M714=0,"",L714+M714)</f>
        <v/>
      </c>
      <c r="O714" s="25" t="str">
        <f aca="false">IF(OR(H714="",I714="",J714=""),"",IF(F714="Long",(I714-H714)*J714*IF(G714="",1,G714),(H714-I714)*J714*IF(G714="",1,G714)))</f>
        <v/>
      </c>
      <c r="P714" s="26" t="str">
        <f aca="false">IF(O714="","",O714-IF(N714="",0,N714))</f>
        <v/>
      </c>
      <c r="Q714" s="27" t="str">
        <f aca="false">IFERROR(IF(P714="","",P714/K714),"")</f>
        <v/>
      </c>
      <c r="R714" s="19"/>
      <c r="S714" s="18"/>
      <c r="T714" s="28"/>
    </row>
    <row r="715" customFormat="false" ht="18" hidden="false" customHeight="true" outlineLevel="0" collapsed="false">
      <c r="A715" s="3" t="str">
        <f aca="false">IF(B715&lt;&gt;"",ROW()-2,"")</f>
        <v/>
      </c>
      <c r="B715" s="4"/>
      <c r="C715" s="4"/>
      <c r="D715" s="5"/>
      <c r="E715" s="6"/>
      <c r="F715" s="5"/>
      <c r="G715" s="7"/>
      <c r="H715" s="8"/>
      <c r="I715" s="8"/>
      <c r="J715" s="9"/>
      <c r="K715" s="10" t="str">
        <f aca="false">IF(H715*J715=0,"",H715*J715)</f>
        <v/>
      </c>
      <c r="L715" s="11"/>
      <c r="M715" s="11"/>
      <c r="N715" s="10" t="str">
        <f aca="false">IF(L715+M715=0,"",L715+M715)</f>
        <v/>
      </c>
      <c r="O715" s="12" t="str">
        <f aca="false">IF(OR(H715="",I715="",J715=""),"",IF(F715="Long",(I715-H715)*J715*IF(G715="",1,G715),(H715-I715)*J715*IF(G715="",1,G715)))</f>
        <v/>
      </c>
      <c r="P715" s="13" t="str">
        <f aca="false">IF(O715="","",O715-IF(N715="",0,N715))</f>
        <v/>
      </c>
      <c r="Q715" s="14" t="str">
        <f aca="false">IFERROR(IF(P715="","",P715/K715),"")</f>
        <v/>
      </c>
      <c r="R715" s="6"/>
      <c r="S715" s="5"/>
      <c r="T715" s="15"/>
    </row>
    <row r="716" customFormat="false" ht="18" hidden="false" customHeight="true" outlineLevel="0" collapsed="false">
      <c r="A716" s="16" t="str">
        <f aca="false">IF(B716&lt;&gt;"",ROW()-2,"")</f>
        <v/>
      </c>
      <c r="B716" s="17"/>
      <c r="C716" s="17"/>
      <c r="D716" s="18"/>
      <c r="E716" s="19"/>
      <c r="F716" s="18"/>
      <c r="G716" s="20"/>
      <c r="H716" s="21"/>
      <c r="I716" s="21"/>
      <c r="J716" s="22"/>
      <c r="K716" s="23" t="str">
        <f aca="false">IF(H716*J716=0,"",H716*J716)</f>
        <v/>
      </c>
      <c r="L716" s="24"/>
      <c r="M716" s="24"/>
      <c r="N716" s="23" t="str">
        <f aca="false">IF(L716+M716=0,"",L716+M716)</f>
        <v/>
      </c>
      <c r="O716" s="25" t="str">
        <f aca="false">IF(OR(H716="",I716="",J716=""),"",IF(F716="Long",(I716-H716)*J716*IF(G716="",1,G716),(H716-I716)*J716*IF(G716="",1,G716)))</f>
        <v/>
      </c>
      <c r="P716" s="26" t="str">
        <f aca="false">IF(O716="","",O716-IF(N716="",0,N716))</f>
        <v/>
      </c>
      <c r="Q716" s="27" t="str">
        <f aca="false">IFERROR(IF(P716="","",P716/K716),"")</f>
        <v/>
      </c>
      <c r="R716" s="19"/>
      <c r="S716" s="18"/>
      <c r="T716" s="28"/>
    </row>
    <row r="717" customFormat="false" ht="18" hidden="false" customHeight="true" outlineLevel="0" collapsed="false">
      <c r="A717" s="3" t="str">
        <f aca="false">IF(B717&lt;&gt;"",ROW()-2,"")</f>
        <v/>
      </c>
      <c r="B717" s="4"/>
      <c r="C717" s="4"/>
      <c r="D717" s="5"/>
      <c r="E717" s="6"/>
      <c r="F717" s="5"/>
      <c r="G717" s="7"/>
      <c r="H717" s="8"/>
      <c r="I717" s="8"/>
      <c r="J717" s="9"/>
      <c r="K717" s="10" t="str">
        <f aca="false">IF(H717*J717=0,"",H717*J717)</f>
        <v/>
      </c>
      <c r="L717" s="11"/>
      <c r="M717" s="11"/>
      <c r="N717" s="10" t="str">
        <f aca="false">IF(L717+M717=0,"",L717+M717)</f>
        <v/>
      </c>
      <c r="O717" s="12" t="str">
        <f aca="false">IF(OR(H717="",I717="",J717=""),"",IF(F717="Long",(I717-H717)*J717*IF(G717="",1,G717),(H717-I717)*J717*IF(G717="",1,G717)))</f>
        <v/>
      </c>
      <c r="P717" s="13" t="str">
        <f aca="false">IF(O717="","",O717-IF(N717="",0,N717))</f>
        <v/>
      </c>
      <c r="Q717" s="14" t="str">
        <f aca="false">IFERROR(IF(P717="","",P717/K717),"")</f>
        <v/>
      </c>
      <c r="R717" s="6"/>
      <c r="S717" s="5"/>
      <c r="T717" s="15"/>
    </row>
    <row r="718" customFormat="false" ht="18" hidden="false" customHeight="true" outlineLevel="0" collapsed="false">
      <c r="A718" s="16" t="str">
        <f aca="false">IF(B718&lt;&gt;"",ROW()-2,"")</f>
        <v/>
      </c>
      <c r="B718" s="17"/>
      <c r="C718" s="17"/>
      <c r="D718" s="18"/>
      <c r="E718" s="19"/>
      <c r="F718" s="18"/>
      <c r="G718" s="20"/>
      <c r="H718" s="21"/>
      <c r="I718" s="21"/>
      <c r="J718" s="22"/>
      <c r="K718" s="23" t="str">
        <f aca="false">IF(H718*J718=0,"",H718*J718)</f>
        <v/>
      </c>
      <c r="L718" s="24"/>
      <c r="M718" s="24"/>
      <c r="N718" s="23" t="str">
        <f aca="false">IF(L718+M718=0,"",L718+M718)</f>
        <v/>
      </c>
      <c r="O718" s="25" t="str">
        <f aca="false">IF(OR(H718="",I718="",J718=""),"",IF(F718="Long",(I718-H718)*J718*IF(G718="",1,G718),(H718-I718)*J718*IF(G718="",1,G718)))</f>
        <v/>
      </c>
      <c r="P718" s="26" t="str">
        <f aca="false">IF(O718="","",O718-IF(N718="",0,N718))</f>
        <v/>
      </c>
      <c r="Q718" s="27" t="str">
        <f aca="false">IFERROR(IF(P718="","",P718/K718),"")</f>
        <v/>
      </c>
      <c r="R718" s="19"/>
      <c r="S718" s="18"/>
      <c r="T718" s="28"/>
    </row>
    <row r="719" customFormat="false" ht="18" hidden="false" customHeight="true" outlineLevel="0" collapsed="false">
      <c r="A719" s="3" t="str">
        <f aca="false">IF(B719&lt;&gt;"",ROW()-2,"")</f>
        <v/>
      </c>
      <c r="B719" s="4"/>
      <c r="C719" s="4"/>
      <c r="D719" s="5"/>
      <c r="E719" s="6"/>
      <c r="F719" s="5"/>
      <c r="G719" s="7"/>
      <c r="H719" s="8"/>
      <c r="I719" s="8"/>
      <c r="J719" s="9"/>
      <c r="K719" s="10" t="str">
        <f aca="false">IF(H719*J719=0,"",H719*J719)</f>
        <v/>
      </c>
      <c r="L719" s="11"/>
      <c r="M719" s="11"/>
      <c r="N719" s="10" t="str">
        <f aca="false">IF(L719+M719=0,"",L719+M719)</f>
        <v/>
      </c>
      <c r="O719" s="12" t="str">
        <f aca="false">IF(OR(H719="",I719="",J719=""),"",IF(F719="Long",(I719-H719)*J719*IF(G719="",1,G719),(H719-I719)*J719*IF(G719="",1,G719)))</f>
        <v/>
      </c>
      <c r="P719" s="13" t="str">
        <f aca="false">IF(O719="","",O719-IF(N719="",0,N719))</f>
        <v/>
      </c>
      <c r="Q719" s="14" t="str">
        <f aca="false">IFERROR(IF(P719="","",P719/K719),"")</f>
        <v/>
      </c>
      <c r="R719" s="6"/>
      <c r="S719" s="5"/>
      <c r="T719" s="15"/>
    </row>
    <row r="720" customFormat="false" ht="18" hidden="false" customHeight="true" outlineLevel="0" collapsed="false">
      <c r="A720" s="16" t="str">
        <f aca="false">IF(B720&lt;&gt;"",ROW()-2,"")</f>
        <v/>
      </c>
      <c r="B720" s="17"/>
      <c r="C720" s="17"/>
      <c r="D720" s="18"/>
      <c r="E720" s="19"/>
      <c r="F720" s="18"/>
      <c r="G720" s="20"/>
      <c r="H720" s="21"/>
      <c r="I720" s="21"/>
      <c r="J720" s="22"/>
      <c r="K720" s="23" t="str">
        <f aca="false">IF(H720*J720=0,"",H720*J720)</f>
        <v/>
      </c>
      <c r="L720" s="24"/>
      <c r="M720" s="24"/>
      <c r="N720" s="23" t="str">
        <f aca="false">IF(L720+M720=0,"",L720+M720)</f>
        <v/>
      </c>
      <c r="O720" s="25" t="str">
        <f aca="false">IF(OR(H720="",I720="",J720=""),"",IF(F720="Long",(I720-H720)*J720*IF(G720="",1,G720),(H720-I720)*J720*IF(G720="",1,G720)))</f>
        <v/>
      </c>
      <c r="P720" s="26" t="str">
        <f aca="false">IF(O720="","",O720-IF(N720="",0,N720))</f>
        <v/>
      </c>
      <c r="Q720" s="27" t="str">
        <f aca="false">IFERROR(IF(P720="","",P720/K720),"")</f>
        <v/>
      </c>
      <c r="R720" s="19"/>
      <c r="S720" s="18"/>
      <c r="T720" s="28"/>
    </row>
    <row r="721" customFormat="false" ht="18" hidden="false" customHeight="true" outlineLevel="0" collapsed="false">
      <c r="A721" s="3" t="str">
        <f aca="false">IF(B721&lt;&gt;"",ROW()-2,"")</f>
        <v/>
      </c>
      <c r="B721" s="4"/>
      <c r="C721" s="4"/>
      <c r="D721" s="5"/>
      <c r="E721" s="6"/>
      <c r="F721" s="5"/>
      <c r="G721" s="7"/>
      <c r="H721" s="8"/>
      <c r="I721" s="8"/>
      <c r="J721" s="9"/>
      <c r="K721" s="10" t="str">
        <f aca="false">IF(H721*J721=0,"",H721*J721)</f>
        <v/>
      </c>
      <c r="L721" s="11"/>
      <c r="M721" s="11"/>
      <c r="N721" s="10" t="str">
        <f aca="false">IF(L721+M721=0,"",L721+M721)</f>
        <v/>
      </c>
      <c r="O721" s="12" t="str">
        <f aca="false">IF(OR(H721="",I721="",J721=""),"",IF(F721="Long",(I721-H721)*J721*IF(G721="",1,G721),(H721-I721)*J721*IF(G721="",1,G721)))</f>
        <v/>
      </c>
      <c r="P721" s="13" t="str">
        <f aca="false">IF(O721="","",O721-IF(N721="",0,N721))</f>
        <v/>
      </c>
      <c r="Q721" s="14" t="str">
        <f aca="false">IFERROR(IF(P721="","",P721/K721),"")</f>
        <v/>
      </c>
      <c r="R721" s="6"/>
      <c r="S721" s="5"/>
      <c r="T721" s="15"/>
    </row>
    <row r="722" customFormat="false" ht="18" hidden="false" customHeight="true" outlineLevel="0" collapsed="false">
      <c r="A722" s="16" t="str">
        <f aca="false">IF(B722&lt;&gt;"",ROW()-2,"")</f>
        <v/>
      </c>
      <c r="B722" s="17"/>
      <c r="C722" s="17"/>
      <c r="D722" s="18"/>
      <c r="E722" s="19"/>
      <c r="F722" s="18"/>
      <c r="G722" s="20"/>
      <c r="H722" s="21"/>
      <c r="I722" s="21"/>
      <c r="J722" s="22"/>
      <c r="K722" s="23" t="str">
        <f aca="false">IF(H722*J722=0,"",H722*J722)</f>
        <v/>
      </c>
      <c r="L722" s="24"/>
      <c r="M722" s="24"/>
      <c r="N722" s="23" t="str">
        <f aca="false">IF(L722+M722=0,"",L722+M722)</f>
        <v/>
      </c>
      <c r="O722" s="25" t="str">
        <f aca="false">IF(OR(H722="",I722="",J722=""),"",IF(F722="Long",(I722-H722)*J722*IF(G722="",1,G722),(H722-I722)*J722*IF(G722="",1,G722)))</f>
        <v/>
      </c>
      <c r="P722" s="26" t="str">
        <f aca="false">IF(O722="","",O722-IF(N722="",0,N722))</f>
        <v/>
      </c>
      <c r="Q722" s="27" t="str">
        <f aca="false">IFERROR(IF(P722="","",P722/K722),"")</f>
        <v/>
      </c>
      <c r="R722" s="19"/>
      <c r="S722" s="18"/>
      <c r="T722" s="28"/>
    </row>
    <row r="723" customFormat="false" ht="18" hidden="false" customHeight="true" outlineLevel="0" collapsed="false">
      <c r="A723" s="3" t="str">
        <f aca="false">IF(B723&lt;&gt;"",ROW()-2,"")</f>
        <v/>
      </c>
      <c r="B723" s="4"/>
      <c r="C723" s="4"/>
      <c r="D723" s="5"/>
      <c r="E723" s="6"/>
      <c r="F723" s="5"/>
      <c r="G723" s="7"/>
      <c r="H723" s="8"/>
      <c r="I723" s="8"/>
      <c r="J723" s="9"/>
      <c r="K723" s="10" t="str">
        <f aca="false">IF(H723*J723=0,"",H723*J723)</f>
        <v/>
      </c>
      <c r="L723" s="11"/>
      <c r="M723" s="11"/>
      <c r="N723" s="10" t="str">
        <f aca="false">IF(L723+M723=0,"",L723+M723)</f>
        <v/>
      </c>
      <c r="O723" s="12" t="str">
        <f aca="false">IF(OR(H723="",I723="",J723=""),"",IF(F723="Long",(I723-H723)*J723*IF(G723="",1,G723),(H723-I723)*J723*IF(G723="",1,G723)))</f>
        <v/>
      </c>
      <c r="P723" s="13" t="str">
        <f aca="false">IF(O723="","",O723-IF(N723="",0,N723))</f>
        <v/>
      </c>
      <c r="Q723" s="14" t="str">
        <f aca="false">IFERROR(IF(P723="","",P723/K723),"")</f>
        <v/>
      </c>
      <c r="R723" s="6"/>
      <c r="S723" s="5"/>
      <c r="T723" s="15"/>
    </row>
    <row r="724" customFormat="false" ht="18" hidden="false" customHeight="true" outlineLevel="0" collapsed="false">
      <c r="A724" s="16" t="str">
        <f aca="false">IF(B724&lt;&gt;"",ROW()-2,"")</f>
        <v/>
      </c>
      <c r="B724" s="17"/>
      <c r="C724" s="17"/>
      <c r="D724" s="18"/>
      <c r="E724" s="19"/>
      <c r="F724" s="18"/>
      <c r="G724" s="20"/>
      <c r="H724" s="21"/>
      <c r="I724" s="21"/>
      <c r="J724" s="22"/>
      <c r="K724" s="23" t="str">
        <f aca="false">IF(H724*J724=0,"",H724*J724)</f>
        <v/>
      </c>
      <c r="L724" s="24"/>
      <c r="M724" s="24"/>
      <c r="N724" s="23" t="str">
        <f aca="false">IF(L724+M724=0,"",L724+M724)</f>
        <v/>
      </c>
      <c r="O724" s="25" t="str">
        <f aca="false">IF(OR(H724="",I724="",J724=""),"",IF(F724="Long",(I724-H724)*J724*IF(G724="",1,G724),(H724-I724)*J724*IF(G724="",1,G724)))</f>
        <v/>
      </c>
      <c r="P724" s="26" t="str">
        <f aca="false">IF(O724="","",O724-IF(N724="",0,N724))</f>
        <v/>
      </c>
      <c r="Q724" s="27" t="str">
        <f aca="false">IFERROR(IF(P724="","",P724/K724),"")</f>
        <v/>
      </c>
      <c r="R724" s="19"/>
      <c r="S724" s="18"/>
      <c r="T724" s="28"/>
    </row>
    <row r="725" customFormat="false" ht="18" hidden="false" customHeight="true" outlineLevel="0" collapsed="false">
      <c r="A725" s="3" t="str">
        <f aca="false">IF(B725&lt;&gt;"",ROW()-2,"")</f>
        <v/>
      </c>
      <c r="B725" s="4"/>
      <c r="C725" s="4"/>
      <c r="D725" s="5"/>
      <c r="E725" s="6"/>
      <c r="F725" s="5"/>
      <c r="G725" s="7"/>
      <c r="H725" s="8"/>
      <c r="I725" s="8"/>
      <c r="J725" s="9"/>
      <c r="K725" s="10" t="str">
        <f aca="false">IF(H725*J725=0,"",H725*J725)</f>
        <v/>
      </c>
      <c r="L725" s="11"/>
      <c r="M725" s="11"/>
      <c r="N725" s="10" t="str">
        <f aca="false">IF(L725+M725=0,"",L725+M725)</f>
        <v/>
      </c>
      <c r="O725" s="12" t="str">
        <f aca="false">IF(OR(H725="",I725="",J725=""),"",IF(F725="Long",(I725-H725)*J725*IF(G725="",1,G725),(H725-I725)*J725*IF(G725="",1,G725)))</f>
        <v/>
      </c>
      <c r="P725" s="13" t="str">
        <f aca="false">IF(O725="","",O725-IF(N725="",0,N725))</f>
        <v/>
      </c>
      <c r="Q725" s="14" t="str">
        <f aca="false">IFERROR(IF(P725="","",P725/K725),"")</f>
        <v/>
      </c>
      <c r="R725" s="6"/>
      <c r="S725" s="5"/>
      <c r="T725" s="15"/>
    </row>
    <row r="726" customFormat="false" ht="18" hidden="false" customHeight="true" outlineLevel="0" collapsed="false">
      <c r="A726" s="16" t="str">
        <f aca="false">IF(B726&lt;&gt;"",ROW()-2,"")</f>
        <v/>
      </c>
      <c r="B726" s="17"/>
      <c r="C726" s="17"/>
      <c r="D726" s="18"/>
      <c r="E726" s="19"/>
      <c r="F726" s="18"/>
      <c r="G726" s="20"/>
      <c r="H726" s="21"/>
      <c r="I726" s="21"/>
      <c r="J726" s="22"/>
      <c r="K726" s="23" t="str">
        <f aca="false">IF(H726*J726=0,"",H726*J726)</f>
        <v/>
      </c>
      <c r="L726" s="24"/>
      <c r="M726" s="24"/>
      <c r="N726" s="23" t="str">
        <f aca="false">IF(L726+M726=0,"",L726+M726)</f>
        <v/>
      </c>
      <c r="O726" s="25" t="str">
        <f aca="false">IF(OR(H726="",I726="",J726=""),"",IF(F726="Long",(I726-H726)*J726*IF(G726="",1,G726),(H726-I726)*J726*IF(G726="",1,G726)))</f>
        <v/>
      </c>
      <c r="P726" s="26" t="str">
        <f aca="false">IF(O726="","",O726-IF(N726="",0,N726))</f>
        <v/>
      </c>
      <c r="Q726" s="27" t="str">
        <f aca="false">IFERROR(IF(P726="","",P726/K726),"")</f>
        <v/>
      </c>
      <c r="R726" s="19"/>
      <c r="S726" s="18"/>
      <c r="T726" s="28"/>
    </row>
    <row r="727" customFormat="false" ht="18" hidden="false" customHeight="true" outlineLevel="0" collapsed="false">
      <c r="A727" s="3" t="str">
        <f aca="false">IF(B727&lt;&gt;"",ROW()-2,"")</f>
        <v/>
      </c>
      <c r="B727" s="4"/>
      <c r="C727" s="4"/>
      <c r="D727" s="5"/>
      <c r="E727" s="6"/>
      <c r="F727" s="5"/>
      <c r="G727" s="7"/>
      <c r="H727" s="8"/>
      <c r="I727" s="8"/>
      <c r="J727" s="9"/>
      <c r="K727" s="10" t="str">
        <f aca="false">IF(H727*J727=0,"",H727*J727)</f>
        <v/>
      </c>
      <c r="L727" s="11"/>
      <c r="M727" s="11"/>
      <c r="N727" s="10" t="str">
        <f aca="false">IF(L727+M727=0,"",L727+M727)</f>
        <v/>
      </c>
      <c r="O727" s="12" t="str">
        <f aca="false">IF(OR(H727="",I727="",J727=""),"",IF(F727="Long",(I727-H727)*J727*IF(G727="",1,G727),(H727-I727)*J727*IF(G727="",1,G727)))</f>
        <v/>
      </c>
      <c r="P727" s="13" t="str">
        <f aca="false">IF(O727="","",O727-IF(N727="",0,N727))</f>
        <v/>
      </c>
      <c r="Q727" s="14" t="str">
        <f aca="false">IFERROR(IF(P727="","",P727/K727),"")</f>
        <v/>
      </c>
      <c r="R727" s="6"/>
      <c r="S727" s="5"/>
      <c r="T727" s="15"/>
    </row>
    <row r="728" customFormat="false" ht="18" hidden="false" customHeight="true" outlineLevel="0" collapsed="false">
      <c r="A728" s="16" t="str">
        <f aca="false">IF(B728&lt;&gt;"",ROW()-2,"")</f>
        <v/>
      </c>
      <c r="B728" s="17"/>
      <c r="C728" s="17"/>
      <c r="D728" s="18"/>
      <c r="E728" s="19"/>
      <c r="F728" s="18"/>
      <c r="G728" s="20"/>
      <c r="H728" s="21"/>
      <c r="I728" s="21"/>
      <c r="J728" s="22"/>
      <c r="K728" s="23" t="str">
        <f aca="false">IF(H728*J728=0,"",H728*J728)</f>
        <v/>
      </c>
      <c r="L728" s="24"/>
      <c r="M728" s="24"/>
      <c r="N728" s="23" t="str">
        <f aca="false">IF(L728+M728=0,"",L728+M728)</f>
        <v/>
      </c>
      <c r="O728" s="25" t="str">
        <f aca="false">IF(OR(H728="",I728="",J728=""),"",IF(F728="Long",(I728-H728)*J728*IF(G728="",1,G728),(H728-I728)*J728*IF(G728="",1,G728)))</f>
        <v/>
      </c>
      <c r="P728" s="26" t="str">
        <f aca="false">IF(O728="","",O728-IF(N728="",0,N728))</f>
        <v/>
      </c>
      <c r="Q728" s="27" t="str">
        <f aca="false">IFERROR(IF(P728="","",P728/K728),"")</f>
        <v/>
      </c>
      <c r="R728" s="19"/>
      <c r="S728" s="18"/>
      <c r="T728" s="28"/>
    </row>
    <row r="729" customFormat="false" ht="18" hidden="false" customHeight="true" outlineLevel="0" collapsed="false">
      <c r="A729" s="3" t="str">
        <f aca="false">IF(B729&lt;&gt;"",ROW()-2,"")</f>
        <v/>
      </c>
      <c r="B729" s="4"/>
      <c r="C729" s="4"/>
      <c r="D729" s="5"/>
      <c r="E729" s="6"/>
      <c r="F729" s="5"/>
      <c r="G729" s="7"/>
      <c r="H729" s="8"/>
      <c r="I729" s="8"/>
      <c r="J729" s="9"/>
      <c r="K729" s="10" t="str">
        <f aca="false">IF(H729*J729=0,"",H729*J729)</f>
        <v/>
      </c>
      <c r="L729" s="11"/>
      <c r="M729" s="11"/>
      <c r="N729" s="10" t="str">
        <f aca="false">IF(L729+M729=0,"",L729+M729)</f>
        <v/>
      </c>
      <c r="O729" s="12" t="str">
        <f aca="false">IF(OR(H729="",I729="",J729=""),"",IF(F729="Long",(I729-H729)*J729*IF(G729="",1,G729),(H729-I729)*J729*IF(G729="",1,G729)))</f>
        <v/>
      </c>
      <c r="P729" s="13" t="str">
        <f aca="false">IF(O729="","",O729-IF(N729="",0,N729))</f>
        <v/>
      </c>
      <c r="Q729" s="14" t="str">
        <f aca="false">IFERROR(IF(P729="","",P729/K729),"")</f>
        <v/>
      </c>
      <c r="R729" s="6"/>
      <c r="S729" s="5"/>
      <c r="T729" s="15"/>
    </row>
    <row r="730" customFormat="false" ht="18" hidden="false" customHeight="true" outlineLevel="0" collapsed="false">
      <c r="A730" s="16" t="str">
        <f aca="false">IF(B730&lt;&gt;"",ROW()-2,"")</f>
        <v/>
      </c>
      <c r="B730" s="17"/>
      <c r="C730" s="17"/>
      <c r="D730" s="18"/>
      <c r="E730" s="19"/>
      <c r="F730" s="18"/>
      <c r="G730" s="20"/>
      <c r="H730" s="21"/>
      <c r="I730" s="21"/>
      <c r="J730" s="22"/>
      <c r="K730" s="23" t="str">
        <f aca="false">IF(H730*J730=0,"",H730*J730)</f>
        <v/>
      </c>
      <c r="L730" s="24"/>
      <c r="M730" s="24"/>
      <c r="N730" s="23" t="str">
        <f aca="false">IF(L730+M730=0,"",L730+M730)</f>
        <v/>
      </c>
      <c r="O730" s="25" t="str">
        <f aca="false">IF(OR(H730="",I730="",J730=""),"",IF(F730="Long",(I730-H730)*J730*IF(G730="",1,G730),(H730-I730)*J730*IF(G730="",1,G730)))</f>
        <v/>
      </c>
      <c r="P730" s="26" t="str">
        <f aca="false">IF(O730="","",O730-IF(N730="",0,N730))</f>
        <v/>
      </c>
      <c r="Q730" s="27" t="str">
        <f aca="false">IFERROR(IF(P730="","",P730/K730),"")</f>
        <v/>
      </c>
      <c r="R730" s="19"/>
      <c r="S730" s="18"/>
      <c r="T730" s="28"/>
    </row>
    <row r="731" customFormat="false" ht="18" hidden="false" customHeight="true" outlineLevel="0" collapsed="false">
      <c r="A731" s="3" t="str">
        <f aca="false">IF(B731&lt;&gt;"",ROW()-2,"")</f>
        <v/>
      </c>
      <c r="B731" s="4"/>
      <c r="C731" s="4"/>
      <c r="D731" s="5"/>
      <c r="E731" s="6"/>
      <c r="F731" s="5"/>
      <c r="G731" s="7"/>
      <c r="H731" s="8"/>
      <c r="I731" s="8"/>
      <c r="J731" s="9"/>
      <c r="K731" s="10" t="str">
        <f aca="false">IF(H731*J731=0,"",H731*J731)</f>
        <v/>
      </c>
      <c r="L731" s="11"/>
      <c r="M731" s="11"/>
      <c r="N731" s="10" t="str">
        <f aca="false">IF(L731+M731=0,"",L731+M731)</f>
        <v/>
      </c>
      <c r="O731" s="12" t="str">
        <f aca="false">IF(OR(H731="",I731="",J731=""),"",IF(F731="Long",(I731-H731)*J731*IF(G731="",1,G731),(H731-I731)*J731*IF(G731="",1,G731)))</f>
        <v/>
      </c>
      <c r="P731" s="13" t="str">
        <f aca="false">IF(O731="","",O731-IF(N731="",0,N731))</f>
        <v/>
      </c>
      <c r="Q731" s="14" t="str">
        <f aca="false">IFERROR(IF(P731="","",P731/K731),"")</f>
        <v/>
      </c>
      <c r="R731" s="6"/>
      <c r="S731" s="5"/>
      <c r="T731" s="15"/>
    </row>
    <row r="732" customFormat="false" ht="18" hidden="false" customHeight="true" outlineLevel="0" collapsed="false">
      <c r="A732" s="16" t="str">
        <f aca="false">IF(B732&lt;&gt;"",ROW()-2,"")</f>
        <v/>
      </c>
      <c r="B732" s="17"/>
      <c r="C732" s="17"/>
      <c r="D732" s="18"/>
      <c r="E732" s="19"/>
      <c r="F732" s="18"/>
      <c r="G732" s="20"/>
      <c r="H732" s="21"/>
      <c r="I732" s="21"/>
      <c r="J732" s="22"/>
      <c r="K732" s="23" t="str">
        <f aca="false">IF(H732*J732=0,"",H732*J732)</f>
        <v/>
      </c>
      <c r="L732" s="24"/>
      <c r="M732" s="24"/>
      <c r="N732" s="23" t="str">
        <f aca="false">IF(L732+M732=0,"",L732+M732)</f>
        <v/>
      </c>
      <c r="O732" s="25" t="str">
        <f aca="false">IF(OR(H732="",I732="",J732=""),"",IF(F732="Long",(I732-H732)*J732*IF(G732="",1,G732),(H732-I732)*J732*IF(G732="",1,G732)))</f>
        <v/>
      </c>
      <c r="P732" s="26" t="str">
        <f aca="false">IF(O732="","",O732-IF(N732="",0,N732))</f>
        <v/>
      </c>
      <c r="Q732" s="27" t="str">
        <f aca="false">IFERROR(IF(P732="","",P732/K732),"")</f>
        <v/>
      </c>
      <c r="R732" s="19"/>
      <c r="S732" s="18"/>
      <c r="T732" s="28"/>
    </row>
    <row r="733" customFormat="false" ht="18" hidden="false" customHeight="true" outlineLevel="0" collapsed="false">
      <c r="A733" s="3" t="str">
        <f aca="false">IF(B733&lt;&gt;"",ROW()-2,"")</f>
        <v/>
      </c>
      <c r="B733" s="4"/>
      <c r="C733" s="4"/>
      <c r="D733" s="5"/>
      <c r="E733" s="6"/>
      <c r="F733" s="5"/>
      <c r="G733" s="7"/>
      <c r="H733" s="8"/>
      <c r="I733" s="8"/>
      <c r="J733" s="9"/>
      <c r="K733" s="10" t="str">
        <f aca="false">IF(H733*J733=0,"",H733*J733)</f>
        <v/>
      </c>
      <c r="L733" s="11"/>
      <c r="M733" s="11"/>
      <c r="N733" s="10" t="str">
        <f aca="false">IF(L733+M733=0,"",L733+M733)</f>
        <v/>
      </c>
      <c r="O733" s="12" t="str">
        <f aca="false">IF(OR(H733="",I733="",J733=""),"",IF(F733="Long",(I733-H733)*J733*IF(G733="",1,G733),(H733-I733)*J733*IF(G733="",1,G733)))</f>
        <v/>
      </c>
      <c r="P733" s="13" t="str">
        <f aca="false">IF(O733="","",O733-IF(N733="",0,N733))</f>
        <v/>
      </c>
      <c r="Q733" s="14" t="str">
        <f aca="false">IFERROR(IF(P733="","",P733/K733),"")</f>
        <v/>
      </c>
      <c r="R733" s="6"/>
      <c r="S733" s="5"/>
      <c r="T733" s="15"/>
    </row>
    <row r="734" customFormat="false" ht="18" hidden="false" customHeight="true" outlineLevel="0" collapsed="false">
      <c r="A734" s="16" t="str">
        <f aca="false">IF(B734&lt;&gt;"",ROW()-2,"")</f>
        <v/>
      </c>
      <c r="B734" s="17"/>
      <c r="C734" s="17"/>
      <c r="D734" s="18"/>
      <c r="E734" s="19"/>
      <c r="F734" s="18"/>
      <c r="G734" s="20"/>
      <c r="H734" s="21"/>
      <c r="I734" s="21"/>
      <c r="J734" s="22"/>
      <c r="K734" s="23" t="str">
        <f aca="false">IF(H734*J734=0,"",H734*J734)</f>
        <v/>
      </c>
      <c r="L734" s="24"/>
      <c r="M734" s="24"/>
      <c r="N734" s="23" t="str">
        <f aca="false">IF(L734+M734=0,"",L734+M734)</f>
        <v/>
      </c>
      <c r="O734" s="25" t="str">
        <f aca="false">IF(OR(H734="",I734="",J734=""),"",IF(F734="Long",(I734-H734)*J734*IF(G734="",1,G734),(H734-I734)*J734*IF(G734="",1,G734)))</f>
        <v/>
      </c>
      <c r="P734" s="26" t="str">
        <f aca="false">IF(O734="","",O734-IF(N734="",0,N734))</f>
        <v/>
      </c>
      <c r="Q734" s="27" t="str">
        <f aca="false">IFERROR(IF(P734="","",P734/K734),"")</f>
        <v/>
      </c>
      <c r="R734" s="19"/>
      <c r="S734" s="18"/>
      <c r="T734" s="28"/>
    </row>
    <row r="735" customFormat="false" ht="18" hidden="false" customHeight="true" outlineLevel="0" collapsed="false">
      <c r="A735" s="3" t="str">
        <f aca="false">IF(B735&lt;&gt;"",ROW()-2,"")</f>
        <v/>
      </c>
      <c r="B735" s="4"/>
      <c r="C735" s="4"/>
      <c r="D735" s="5"/>
      <c r="E735" s="6"/>
      <c r="F735" s="5"/>
      <c r="G735" s="7"/>
      <c r="H735" s="8"/>
      <c r="I735" s="8"/>
      <c r="J735" s="9"/>
      <c r="K735" s="10" t="str">
        <f aca="false">IF(H735*J735=0,"",H735*J735)</f>
        <v/>
      </c>
      <c r="L735" s="11"/>
      <c r="M735" s="11"/>
      <c r="N735" s="10" t="str">
        <f aca="false">IF(L735+M735=0,"",L735+M735)</f>
        <v/>
      </c>
      <c r="O735" s="12" t="str">
        <f aca="false">IF(OR(H735="",I735="",J735=""),"",IF(F735="Long",(I735-H735)*J735*IF(G735="",1,G735),(H735-I735)*J735*IF(G735="",1,G735)))</f>
        <v/>
      </c>
      <c r="P735" s="13" t="str">
        <f aca="false">IF(O735="","",O735-IF(N735="",0,N735))</f>
        <v/>
      </c>
      <c r="Q735" s="14" t="str">
        <f aca="false">IFERROR(IF(P735="","",P735/K735),"")</f>
        <v/>
      </c>
      <c r="R735" s="6"/>
      <c r="S735" s="5"/>
      <c r="T735" s="15"/>
    </row>
    <row r="736" customFormat="false" ht="18" hidden="false" customHeight="true" outlineLevel="0" collapsed="false">
      <c r="A736" s="16" t="str">
        <f aca="false">IF(B736&lt;&gt;"",ROW()-2,"")</f>
        <v/>
      </c>
      <c r="B736" s="17"/>
      <c r="C736" s="17"/>
      <c r="D736" s="18"/>
      <c r="E736" s="19"/>
      <c r="F736" s="18"/>
      <c r="G736" s="20"/>
      <c r="H736" s="21"/>
      <c r="I736" s="21"/>
      <c r="J736" s="22"/>
      <c r="K736" s="23" t="str">
        <f aca="false">IF(H736*J736=0,"",H736*J736)</f>
        <v/>
      </c>
      <c r="L736" s="24"/>
      <c r="M736" s="24"/>
      <c r="N736" s="23" t="str">
        <f aca="false">IF(L736+M736=0,"",L736+M736)</f>
        <v/>
      </c>
      <c r="O736" s="25" t="str">
        <f aca="false">IF(OR(H736="",I736="",J736=""),"",IF(F736="Long",(I736-H736)*J736*IF(G736="",1,G736),(H736-I736)*J736*IF(G736="",1,G736)))</f>
        <v/>
      </c>
      <c r="P736" s="26" t="str">
        <f aca="false">IF(O736="","",O736-IF(N736="",0,N736))</f>
        <v/>
      </c>
      <c r="Q736" s="27" t="str">
        <f aca="false">IFERROR(IF(P736="","",P736/K736),"")</f>
        <v/>
      </c>
      <c r="R736" s="19"/>
      <c r="S736" s="18"/>
      <c r="T736" s="28"/>
    </row>
    <row r="737" customFormat="false" ht="18" hidden="false" customHeight="true" outlineLevel="0" collapsed="false">
      <c r="A737" s="3" t="str">
        <f aca="false">IF(B737&lt;&gt;"",ROW()-2,"")</f>
        <v/>
      </c>
      <c r="B737" s="4"/>
      <c r="C737" s="4"/>
      <c r="D737" s="5"/>
      <c r="E737" s="6"/>
      <c r="F737" s="5"/>
      <c r="G737" s="7"/>
      <c r="H737" s="8"/>
      <c r="I737" s="8"/>
      <c r="J737" s="9"/>
      <c r="K737" s="10" t="str">
        <f aca="false">IF(H737*J737=0,"",H737*J737)</f>
        <v/>
      </c>
      <c r="L737" s="11"/>
      <c r="M737" s="11"/>
      <c r="N737" s="10" t="str">
        <f aca="false">IF(L737+M737=0,"",L737+M737)</f>
        <v/>
      </c>
      <c r="O737" s="12" t="str">
        <f aca="false">IF(OR(H737="",I737="",J737=""),"",IF(F737="Long",(I737-H737)*J737*IF(G737="",1,G737),(H737-I737)*J737*IF(G737="",1,G737)))</f>
        <v/>
      </c>
      <c r="P737" s="13" t="str">
        <f aca="false">IF(O737="","",O737-IF(N737="",0,N737))</f>
        <v/>
      </c>
      <c r="Q737" s="14" t="str">
        <f aca="false">IFERROR(IF(P737="","",P737/K737),"")</f>
        <v/>
      </c>
      <c r="R737" s="6"/>
      <c r="S737" s="5"/>
      <c r="T737" s="15"/>
    </row>
    <row r="738" customFormat="false" ht="18" hidden="false" customHeight="true" outlineLevel="0" collapsed="false">
      <c r="A738" s="16" t="str">
        <f aca="false">IF(B738&lt;&gt;"",ROW()-2,"")</f>
        <v/>
      </c>
      <c r="B738" s="17"/>
      <c r="C738" s="17"/>
      <c r="D738" s="18"/>
      <c r="E738" s="19"/>
      <c r="F738" s="18"/>
      <c r="G738" s="20"/>
      <c r="H738" s="21"/>
      <c r="I738" s="21"/>
      <c r="J738" s="22"/>
      <c r="K738" s="23" t="str">
        <f aca="false">IF(H738*J738=0,"",H738*J738)</f>
        <v/>
      </c>
      <c r="L738" s="24"/>
      <c r="M738" s="24"/>
      <c r="N738" s="23" t="str">
        <f aca="false">IF(L738+M738=0,"",L738+M738)</f>
        <v/>
      </c>
      <c r="O738" s="25" t="str">
        <f aca="false">IF(OR(H738="",I738="",J738=""),"",IF(F738="Long",(I738-H738)*J738*IF(G738="",1,G738),(H738-I738)*J738*IF(G738="",1,G738)))</f>
        <v/>
      </c>
      <c r="P738" s="26" t="str">
        <f aca="false">IF(O738="","",O738-IF(N738="",0,N738))</f>
        <v/>
      </c>
      <c r="Q738" s="27" t="str">
        <f aca="false">IFERROR(IF(P738="","",P738/K738),"")</f>
        <v/>
      </c>
      <c r="R738" s="19"/>
      <c r="S738" s="18"/>
      <c r="T738" s="28"/>
    </row>
    <row r="739" customFormat="false" ht="18" hidden="false" customHeight="true" outlineLevel="0" collapsed="false">
      <c r="A739" s="3" t="str">
        <f aca="false">IF(B739&lt;&gt;"",ROW()-2,"")</f>
        <v/>
      </c>
      <c r="B739" s="4"/>
      <c r="C739" s="4"/>
      <c r="D739" s="5"/>
      <c r="E739" s="6"/>
      <c r="F739" s="5"/>
      <c r="G739" s="7"/>
      <c r="H739" s="8"/>
      <c r="I739" s="8"/>
      <c r="J739" s="9"/>
      <c r="K739" s="10" t="str">
        <f aca="false">IF(H739*J739=0,"",H739*J739)</f>
        <v/>
      </c>
      <c r="L739" s="11"/>
      <c r="M739" s="11"/>
      <c r="N739" s="10" t="str">
        <f aca="false">IF(L739+M739=0,"",L739+M739)</f>
        <v/>
      </c>
      <c r="O739" s="12" t="str">
        <f aca="false">IF(OR(H739="",I739="",J739=""),"",IF(F739="Long",(I739-H739)*J739*IF(G739="",1,G739),(H739-I739)*J739*IF(G739="",1,G739)))</f>
        <v/>
      </c>
      <c r="P739" s="13" t="str">
        <f aca="false">IF(O739="","",O739-IF(N739="",0,N739))</f>
        <v/>
      </c>
      <c r="Q739" s="14" t="str">
        <f aca="false">IFERROR(IF(P739="","",P739/K739),"")</f>
        <v/>
      </c>
      <c r="R739" s="6"/>
      <c r="S739" s="5"/>
      <c r="T739" s="15"/>
    </row>
    <row r="740" customFormat="false" ht="18" hidden="false" customHeight="true" outlineLevel="0" collapsed="false">
      <c r="A740" s="16" t="str">
        <f aca="false">IF(B740&lt;&gt;"",ROW()-2,"")</f>
        <v/>
      </c>
      <c r="B740" s="17"/>
      <c r="C740" s="17"/>
      <c r="D740" s="18"/>
      <c r="E740" s="19"/>
      <c r="F740" s="18"/>
      <c r="G740" s="20"/>
      <c r="H740" s="21"/>
      <c r="I740" s="21"/>
      <c r="J740" s="22"/>
      <c r="K740" s="23" t="str">
        <f aca="false">IF(H740*J740=0,"",H740*J740)</f>
        <v/>
      </c>
      <c r="L740" s="24"/>
      <c r="M740" s="24"/>
      <c r="N740" s="23" t="str">
        <f aca="false">IF(L740+M740=0,"",L740+M740)</f>
        <v/>
      </c>
      <c r="O740" s="25" t="str">
        <f aca="false">IF(OR(H740="",I740="",J740=""),"",IF(F740="Long",(I740-H740)*J740*IF(G740="",1,G740),(H740-I740)*J740*IF(G740="",1,G740)))</f>
        <v/>
      </c>
      <c r="P740" s="26" t="str">
        <f aca="false">IF(O740="","",O740-IF(N740="",0,N740))</f>
        <v/>
      </c>
      <c r="Q740" s="27" t="str">
        <f aca="false">IFERROR(IF(P740="","",P740/K740),"")</f>
        <v/>
      </c>
      <c r="R740" s="19"/>
      <c r="S740" s="18"/>
      <c r="T740" s="28"/>
    </row>
    <row r="741" customFormat="false" ht="18" hidden="false" customHeight="true" outlineLevel="0" collapsed="false">
      <c r="A741" s="3" t="str">
        <f aca="false">IF(B741&lt;&gt;"",ROW()-2,"")</f>
        <v/>
      </c>
      <c r="B741" s="4"/>
      <c r="C741" s="4"/>
      <c r="D741" s="5"/>
      <c r="E741" s="6"/>
      <c r="F741" s="5"/>
      <c r="G741" s="7"/>
      <c r="H741" s="8"/>
      <c r="I741" s="8"/>
      <c r="J741" s="9"/>
      <c r="K741" s="10" t="str">
        <f aca="false">IF(H741*J741=0,"",H741*J741)</f>
        <v/>
      </c>
      <c r="L741" s="11"/>
      <c r="M741" s="11"/>
      <c r="N741" s="10" t="str">
        <f aca="false">IF(L741+M741=0,"",L741+M741)</f>
        <v/>
      </c>
      <c r="O741" s="12" t="str">
        <f aca="false">IF(OR(H741="",I741="",J741=""),"",IF(F741="Long",(I741-H741)*J741*IF(G741="",1,G741),(H741-I741)*J741*IF(G741="",1,G741)))</f>
        <v/>
      </c>
      <c r="P741" s="13" t="str">
        <f aca="false">IF(O741="","",O741-IF(N741="",0,N741))</f>
        <v/>
      </c>
      <c r="Q741" s="14" t="str">
        <f aca="false">IFERROR(IF(P741="","",P741/K741),"")</f>
        <v/>
      </c>
      <c r="R741" s="6"/>
      <c r="S741" s="5"/>
      <c r="T741" s="15"/>
    </row>
    <row r="742" customFormat="false" ht="18" hidden="false" customHeight="true" outlineLevel="0" collapsed="false">
      <c r="A742" s="16" t="str">
        <f aca="false">IF(B742&lt;&gt;"",ROW()-2,"")</f>
        <v/>
      </c>
      <c r="B742" s="17"/>
      <c r="C742" s="17"/>
      <c r="D742" s="18"/>
      <c r="E742" s="19"/>
      <c r="F742" s="18"/>
      <c r="G742" s="20"/>
      <c r="H742" s="21"/>
      <c r="I742" s="21"/>
      <c r="J742" s="22"/>
      <c r="K742" s="23" t="str">
        <f aca="false">IF(H742*J742=0,"",H742*J742)</f>
        <v/>
      </c>
      <c r="L742" s="24"/>
      <c r="M742" s="24"/>
      <c r="N742" s="23" t="str">
        <f aca="false">IF(L742+M742=0,"",L742+M742)</f>
        <v/>
      </c>
      <c r="O742" s="25" t="str">
        <f aca="false">IF(OR(H742="",I742="",J742=""),"",IF(F742="Long",(I742-H742)*J742*IF(G742="",1,G742),(H742-I742)*J742*IF(G742="",1,G742)))</f>
        <v/>
      </c>
      <c r="P742" s="26" t="str">
        <f aca="false">IF(O742="","",O742-IF(N742="",0,N742))</f>
        <v/>
      </c>
      <c r="Q742" s="27" t="str">
        <f aca="false">IFERROR(IF(P742="","",P742/K742),"")</f>
        <v/>
      </c>
      <c r="R742" s="19"/>
      <c r="S742" s="18"/>
      <c r="T742" s="28"/>
    </row>
    <row r="743" customFormat="false" ht="18" hidden="false" customHeight="true" outlineLevel="0" collapsed="false">
      <c r="A743" s="3" t="str">
        <f aca="false">IF(B743&lt;&gt;"",ROW()-2,"")</f>
        <v/>
      </c>
      <c r="B743" s="4"/>
      <c r="C743" s="4"/>
      <c r="D743" s="5"/>
      <c r="E743" s="6"/>
      <c r="F743" s="5"/>
      <c r="G743" s="7"/>
      <c r="H743" s="8"/>
      <c r="I743" s="8"/>
      <c r="J743" s="9"/>
      <c r="K743" s="10" t="str">
        <f aca="false">IF(H743*J743=0,"",H743*J743)</f>
        <v/>
      </c>
      <c r="L743" s="11"/>
      <c r="M743" s="11"/>
      <c r="N743" s="10" t="str">
        <f aca="false">IF(L743+M743=0,"",L743+M743)</f>
        <v/>
      </c>
      <c r="O743" s="12" t="str">
        <f aca="false">IF(OR(H743="",I743="",J743=""),"",IF(F743="Long",(I743-H743)*J743*IF(G743="",1,G743),(H743-I743)*J743*IF(G743="",1,G743)))</f>
        <v/>
      </c>
      <c r="P743" s="13" t="str">
        <f aca="false">IF(O743="","",O743-IF(N743="",0,N743))</f>
        <v/>
      </c>
      <c r="Q743" s="14" t="str">
        <f aca="false">IFERROR(IF(P743="","",P743/K743),"")</f>
        <v/>
      </c>
      <c r="R743" s="6"/>
      <c r="S743" s="5"/>
      <c r="T743" s="15"/>
    </row>
    <row r="744" customFormat="false" ht="18" hidden="false" customHeight="true" outlineLevel="0" collapsed="false">
      <c r="A744" s="16" t="str">
        <f aca="false">IF(B744&lt;&gt;"",ROW()-2,"")</f>
        <v/>
      </c>
      <c r="B744" s="17"/>
      <c r="C744" s="17"/>
      <c r="D744" s="18"/>
      <c r="E744" s="19"/>
      <c r="F744" s="18"/>
      <c r="G744" s="20"/>
      <c r="H744" s="21"/>
      <c r="I744" s="21"/>
      <c r="J744" s="22"/>
      <c r="K744" s="23" t="str">
        <f aca="false">IF(H744*J744=0,"",H744*J744)</f>
        <v/>
      </c>
      <c r="L744" s="24"/>
      <c r="M744" s="24"/>
      <c r="N744" s="23" t="str">
        <f aca="false">IF(L744+M744=0,"",L744+M744)</f>
        <v/>
      </c>
      <c r="O744" s="25" t="str">
        <f aca="false">IF(OR(H744="",I744="",J744=""),"",IF(F744="Long",(I744-H744)*J744*IF(G744="",1,G744),(H744-I744)*J744*IF(G744="",1,G744)))</f>
        <v/>
      </c>
      <c r="P744" s="26" t="str">
        <f aca="false">IF(O744="","",O744-IF(N744="",0,N744))</f>
        <v/>
      </c>
      <c r="Q744" s="27" t="str">
        <f aca="false">IFERROR(IF(P744="","",P744/K744),"")</f>
        <v/>
      </c>
      <c r="R744" s="19"/>
      <c r="S744" s="18"/>
      <c r="T744" s="28"/>
    </row>
    <row r="745" customFormat="false" ht="18" hidden="false" customHeight="true" outlineLevel="0" collapsed="false">
      <c r="A745" s="3" t="str">
        <f aca="false">IF(B745&lt;&gt;"",ROW()-2,"")</f>
        <v/>
      </c>
      <c r="B745" s="4"/>
      <c r="C745" s="4"/>
      <c r="D745" s="5"/>
      <c r="E745" s="6"/>
      <c r="F745" s="5"/>
      <c r="G745" s="7"/>
      <c r="H745" s="8"/>
      <c r="I745" s="8"/>
      <c r="J745" s="9"/>
      <c r="K745" s="10" t="str">
        <f aca="false">IF(H745*J745=0,"",H745*J745)</f>
        <v/>
      </c>
      <c r="L745" s="11"/>
      <c r="M745" s="11"/>
      <c r="N745" s="10" t="str">
        <f aca="false">IF(L745+M745=0,"",L745+M745)</f>
        <v/>
      </c>
      <c r="O745" s="12" t="str">
        <f aca="false">IF(OR(H745="",I745="",J745=""),"",IF(F745="Long",(I745-H745)*J745*IF(G745="",1,G745),(H745-I745)*J745*IF(G745="",1,G745)))</f>
        <v/>
      </c>
      <c r="P745" s="13" t="str">
        <f aca="false">IF(O745="","",O745-IF(N745="",0,N745))</f>
        <v/>
      </c>
      <c r="Q745" s="14" t="str">
        <f aca="false">IFERROR(IF(P745="","",P745/K745),"")</f>
        <v/>
      </c>
      <c r="R745" s="6"/>
      <c r="S745" s="5"/>
      <c r="T745" s="15"/>
    </row>
    <row r="746" customFormat="false" ht="18" hidden="false" customHeight="true" outlineLevel="0" collapsed="false">
      <c r="A746" s="16" t="str">
        <f aca="false">IF(B746&lt;&gt;"",ROW()-2,"")</f>
        <v/>
      </c>
      <c r="B746" s="17"/>
      <c r="C746" s="17"/>
      <c r="D746" s="18"/>
      <c r="E746" s="19"/>
      <c r="F746" s="18"/>
      <c r="G746" s="20"/>
      <c r="H746" s="21"/>
      <c r="I746" s="21"/>
      <c r="J746" s="22"/>
      <c r="K746" s="23" t="str">
        <f aca="false">IF(H746*J746=0,"",H746*J746)</f>
        <v/>
      </c>
      <c r="L746" s="24"/>
      <c r="M746" s="24"/>
      <c r="N746" s="23" t="str">
        <f aca="false">IF(L746+M746=0,"",L746+M746)</f>
        <v/>
      </c>
      <c r="O746" s="25" t="str">
        <f aca="false">IF(OR(H746="",I746="",J746=""),"",IF(F746="Long",(I746-H746)*J746*IF(G746="",1,G746),(H746-I746)*J746*IF(G746="",1,G746)))</f>
        <v/>
      </c>
      <c r="P746" s="26" t="str">
        <f aca="false">IF(O746="","",O746-IF(N746="",0,N746))</f>
        <v/>
      </c>
      <c r="Q746" s="27" t="str">
        <f aca="false">IFERROR(IF(P746="","",P746/K746),"")</f>
        <v/>
      </c>
      <c r="R746" s="19"/>
      <c r="S746" s="18"/>
      <c r="T746" s="28"/>
    </row>
    <row r="747" customFormat="false" ht="18" hidden="false" customHeight="true" outlineLevel="0" collapsed="false">
      <c r="A747" s="3" t="str">
        <f aca="false">IF(B747&lt;&gt;"",ROW()-2,"")</f>
        <v/>
      </c>
      <c r="B747" s="4"/>
      <c r="C747" s="4"/>
      <c r="D747" s="5"/>
      <c r="E747" s="6"/>
      <c r="F747" s="5"/>
      <c r="G747" s="7"/>
      <c r="H747" s="8"/>
      <c r="I747" s="8"/>
      <c r="J747" s="9"/>
      <c r="K747" s="10" t="str">
        <f aca="false">IF(H747*J747=0,"",H747*J747)</f>
        <v/>
      </c>
      <c r="L747" s="11"/>
      <c r="M747" s="11"/>
      <c r="N747" s="10" t="str">
        <f aca="false">IF(L747+M747=0,"",L747+M747)</f>
        <v/>
      </c>
      <c r="O747" s="12" t="str">
        <f aca="false">IF(OR(H747="",I747="",J747=""),"",IF(F747="Long",(I747-H747)*J747*IF(G747="",1,G747),(H747-I747)*J747*IF(G747="",1,G747)))</f>
        <v/>
      </c>
      <c r="P747" s="13" t="str">
        <f aca="false">IF(O747="","",O747-IF(N747="",0,N747))</f>
        <v/>
      </c>
      <c r="Q747" s="14" t="str">
        <f aca="false">IFERROR(IF(P747="","",P747/K747),"")</f>
        <v/>
      </c>
      <c r="R747" s="6"/>
      <c r="S747" s="5"/>
      <c r="T747" s="15"/>
    </row>
    <row r="748" customFormat="false" ht="18" hidden="false" customHeight="true" outlineLevel="0" collapsed="false">
      <c r="A748" s="16" t="str">
        <f aca="false">IF(B748&lt;&gt;"",ROW()-2,"")</f>
        <v/>
      </c>
      <c r="B748" s="17"/>
      <c r="C748" s="17"/>
      <c r="D748" s="18"/>
      <c r="E748" s="19"/>
      <c r="F748" s="18"/>
      <c r="G748" s="20"/>
      <c r="H748" s="21"/>
      <c r="I748" s="21"/>
      <c r="J748" s="22"/>
      <c r="K748" s="23" t="str">
        <f aca="false">IF(H748*J748=0,"",H748*J748)</f>
        <v/>
      </c>
      <c r="L748" s="24"/>
      <c r="M748" s="24"/>
      <c r="N748" s="23" t="str">
        <f aca="false">IF(L748+M748=0,"",L748+M748)</f>
        <v/>
      </c>
      <c r="O748" s="25" t="str">
        <f aca="false">IF(OR(H748="",I748="",J748=""),"",IF(F748="Long",(I748-H748)*J748*IF(G748="",1,G748),(H748-I748)*J748*IF(G748="",1,G748)))</f>
        <v/>
      </c>
      <c r="P748" s="26" t="str">
        <f aca="false">IF(O748="","",O748-IF(N748="",0,N748))</f>
        <v/>
      </c>
      <c r="Q748" s="27" t="str">
        <f aca="false">IFERROR(IF(P748="","",P748/K748),"")</f>
        <v/>
      </c>
      <c r="R748" s="19"/>
      <c r="S748" s="18"/>
      <c r="T748" s="28"/>
    </row>
    <row r="749" customFormat="false" ht="18" hidden="false" customHeight="true" outlineLevel="0" collapsed="false">
      <c r="A749" s="3" t="str">
        <f aca="false">IF(B749&lt;&gt;"",ROW()-2,"")</f>
        <v/>
      </c>
      <c r="B749" s="4"/>
      <c r="C749" s="4"/>
      <c r="D749" s="5"/>
      <c r="E749" s="6"/>
      <c r="F749" s="5"/>
      <c r="G749" s="7"/>
      <c r="H749" s="8"/>
      <c r="I749" s="8"/>
      <c r="J749" s="9"/>
      <c r="K749" s="10" t="str">
        <f aca="false">IF(H749*J749=0,"",H749*J749)</f>
        <v/>
      </c>
      <c r="L749" s="11"/>
      <c r="M749" s="11"/>
      <c r="N749" s="10" t="str">
        <f aca="false">IF(L749+M749=0,"",L749+M749)</f>
        <v/>
      </c>
      <c r="O749" s="12" t="str">
        <f aca="false">IF(OR(H749="",I749="",J749=""),"",IF(F749="Long",(I749-H749)*J749*IF(G749="",1,G749),(H749-I749)*J749*IF(G749="",1,G749)))</f>
        <v/>
      </c>
      <c r="P749" s="13" t="str">
        <f aca="false">IF(O749="","",O749-IF(N749="",0,N749))</f>
        <v/>
      </c>
      <c r="Q749" s="14" t="str">
        <f aca="false">IFERROR(IF(P749="","",P749/K749),"")</f>
        <v/>
      </c>
      <c r="R749" s="6"/>
      <c r="S749" s="5"/>
      <c r="T749" s="15"/>
    </row>
    <row r="750" customFormat="false" ht="18" hidden="false" customHeight="true" outlineLevel="0" collapsed="false">
      <c r="A750" s="16" t="str">
        <f aca="false">IF(B750&lt;&gt;"",ROW()-2,"")</f>
        <v/>
      </c>
      <c r="B750" s="17"/>
      <c r="C750" s="17"/>
      <c r="D750" s="18"/>
      <c r="E750" s="19"/>
      <c r="F750" s="18"/>
      <c r="G750" s="20"/>
      <c r="H750" s="21"/>
      <c r="I750" s="21"/>
      <c r="J750" s="22"/>
      <c r="K750" s="23" t="str">
        <f aca="false">IF(H750*J750=0,"",H750*J750)</f>
        <v/>
      </c>
      <c r="L750" s="24"/>
      <c r="M750" s="24"/>
      <c r="N750" s="23" t="str">
        <f aca="false">IF(L750+M750=0,"",L750+M750)</f>
        <v/>
      </c>
      <c r="O750" s="25" t="str">
        <f aca="false">IF(OR(H750="",I750="",J750=""),"",IF(F750="Long",(I750-H750)*J750*IF(G750="",1,G750),(H750-I750)*J750*IF(G750="",1,G750)))</f>
        <v/>
      </c>
      <c r="P750" s="26" t="str">
        <f aca="false">IF(O750="","",O750-IF(N750="",0,N750))</f>
        <v/>
      </c>
      <c r="Q750" s="27" t="str">
        <f aca="false">IFERROR(IF(P750="","",P750/K750),"")</f>
        <v/>
      </c>
      <c r="R750" s="19"/>
      <c r="S750" s="18"/>
      <c r="T750" s="28"/>
    </row>
    <row r="751" customFormat="false" ht="18" hidden="false" customHeight="true" outlineLevel="0" collapsed="false">
      <c r="A751" s="3" t="str">
        <f aca="false">IF(B751&lt;&gt;"",ROW()-2,"")</f>
        <v/>
      </c>
      <c r="B751" s="4"/>
      <c r="C751" s="4"/>
      <c r="D751" s="5"/>
      <c r="E751" s="6"/>
      <c r="F751" s="5"/>
      <c r="G751" s="7"/>
      <c r="H751" s="8"/>
      <c r="I751" s="8"/>
      <c r="J751" s="9"/>
      <c r="K751" s="10" t="str">
        <f aca="false">IF(H751*J751=0,"",H751*J751)</f>
        <v/>
      </c>
      <c r="L751" s="11"/>
      <c r="M751" s="11"/>
      <c r="N751" s="10" t="str">
        <f aca="false">IF(L751+M751=0,"",L751+M751)</f>
        <v/>
      </c>
      <c r="O751" s="12" t="str">
        <f aca="false">IF(OR(H751="",I751="",J751=""),"",IF(F751="Long",(I751-H751)*J751*IF(G751="",1,G751),(H751-I751)*J751*IF(G751="",1,G751)))</f>
        <v/>
      </c>
      <c r="P751" s="13" t="str">
        <f aca="false">IF(O751="","",O751-IF(N751="",0,N751))</f>
        <v/>
      </c>
      <c r="Q751" s="14" t="str">
        <f aca="false">IFERROR(IF(P751="","",P751/K751),"")</f>
        <v/>
      </c>
      <c r="R751" s="6"/>
      <c r="S751" s="5"/>
      <c r="T751" s="15"/>
    </row>
    <row r="752" customFormat="false" ht="18" hidden="false" customHeight="true" outlineLevel="0" collapsed="false">
      <c r="A752" s="16" t="str">
        <f aca="false">IF(B752&lt;&gt;"",ROW()-2,"")</f>
        <v/>
      </c>
      <c r="B752" s="17"/>
      <c r="C752" s="17"/>
      <c r="D752" s="18"/>
      <c r="E752" s="19"/>
      <c r="F752" s="18"/>
      <c r="G752" s="20"/>
      <c r="H752" s="21"/>
      <c r="I752" s="21"/>
      <c r="J752" s="22"/>
      <c r="K752" s="23" t="str">
        <f aca="false">IF(H752*J752=0,"",H752*J752)</f>
        <v/>
      </c>
      <c r="L752" s="24"/>
      <c r="M752" s="24"/>
      <c r="N752" s="23" t="str">
        <f aca="false">IF(L752+M752=0,"",L752+M752)</f>
        <v/>
      </c>
      <c r="O752" s="25" t="str">
        <f aca="false">IF(OR(H752="",I752="",J752=""),"",IF(F752="Long",(I752-H752)*J752*IF(G752="",1,G752),(H752-I752)*J752*IF(G752="",1,G752)))</f>
        <v/>
      </c>
      <c r="P752" s="26" t="str">
        <f aca="false">IF(O752="","",O752-IF(N752="",0,N752))</f>
        <v/>
      </c>
      <c r="Q752" s="27" t="str">
        <f aca="false">IFERROR(IF(P752="","",P752/K752),"")</f>
        <v/>
      </c>
      <c r="R752" s="19"/>
      <c r="S752" s="18"/>
      <c r="T752" s="28"/>
    </row>
    <row r="753" customFormat="false" ht="18" hidden="false" customHeight="true" outlineLevel="0" collapsed="false">
      <c r="A753" s="3" t="str">
        <f aca="false">IF(B753&lt;&gt;"",ROW()-2,"")</f>
        <v/>
      </c>
      <c r="B753" s="4"/>
      <c r="C753" s="4"/>
      <c r="D753" s="5"/>
      <c r="E753" s="6"/>
      <c r="F753" s="5"/>
      <c r="G753" s="7"/>
      <c r="H753" s="8"/>
      <c r="I753" s="8"/>
      <c r="J753" s="9"/>
      <c r="K753" s="10" t="str">
        <f aca="false">IF(H753*J753=0,"",H753*J753)</f>
        <v/>
      </c>
      <c r="L753" s="11"/>
      <c r="M753" s="11"/>
      <c r="N753" s="10" t="str">
        <f aca="false">IF(L753+M753=0,"",L753+M753)</f>
        <v/>
      </c>
      <c r="O753" s="12" t="str">
        <f aca="false">IF(OR(H753="",I753="",J753=""),"",IF(F753="Long",(I753-H753)*J753*IF(G753="",1,G753),(H753-I753)*J753*IF(G753="",1,G753)))</f>
        <v/>
      </c>
      <c r="P753" s="13" t="str">
        <f aca="false">IF(O753="","",O753-IF(N753="",0,N753))</f>
        <v/>
      </c>
      <c r="Q753" s="14" t="str">
        <f aca="false">IFERROR(IF(P753="","",P753/K753),"")</f>
        <v/>
      </c>
      <c r="R753" s="6"/>
      <c r="S753" s="5"/>
      <c r="T753" s="15"/>
    </row>
    <row r="754" customFormat="false" ht="18" hidden="false" customHeight="true" outlineLevel="0" collapsed="false">
      <c r="A754" s="16" t="str">
        <f aca="false">IF(B754&lt;&gt;"",ROW()-2,"")</f>
        <v/>
      </c>
      <c r="B754" s="17"/>
      <c r="C754" s="17"/>
      <c r="D754" s="18"/>
      <c r="E754" s="19"/>
      <c r="F754" s="18"/>
      <c r="G754" s="20"/>
      <c r="H754" s="21"/>
      <c r="I754" s="21"/>
      <c r="J754" s="22"/>
      <c r="K754" s="23" t="str">
        <f aca="false">IF(H754*J754=0,"",H754*J754)</f>
        <v/>
      </c>
      <c r="L754" s="24"/>
      <c r="M754" s="24"/>
      <c r="N754" s="23" t="str">
        <f aca="false">IF(L754+M754=0,"",L754+M754)</f>
        <v/>
      </c>
      <c r="O754" s="25" t="str">
        <f aca="false">IF(OR(H754="",I754="",J754=""),"",IF(F754="Long",(I754-H754)*J754*IF(G754="",1,G754),(H754-I754)*J754*IF(G754="",1,G754)))</f>
        <v/>
      </c>
      <c r="P754" s="26" t="str">
        <f aca="false">IF(O754="","",O754-IF(N754="",0,N754))</f>
        <v/>
      </c>
      <c r="Q754" s="27" t="str">
        <f aca="false">IFERROR(IF(P754="","",P754/K754),"")</f>
        <v/>
      </c>
      <c r="R754" s="19"/>
      <c r="S754" s="18"/>
      <c r="T754" s="28"/>
    </row>
    <row r="755" customFormat="false" ht="18" hidden="false" customHeight="true" outlineLevel="0" collapsed="false">
      <c r="A755" s="3" t="str">
        <f aca="false">IF(B755&lt;&gt;"",ROW()-2,"")</f>
        <v/>
      </c>
      <c r="B755" s="4"/>
      <c r="C755" s="4"/>
      <c r="D755" s="5"/>
      <c r="E755" s="6"/>
      <c r="F755" s="5"/>
      <c r="G755" s="7"/>
      <c r="H755" s="8"/>
      <c r="I755" s="8"/>
      <c r="J755" s="9"/>
      <c r="K755" s="10" t="str">
        <f aca="false">IF(H755*J755=0,"",H755*J755)</f>
        <v/>
      </c>
      <c r="L755" s="11"/>
      <c r="M755" s="11"/>
      <c r="N755" s="10" t="str">
        <f aca="false">IF(L755+M755=0,"",L755+M755)</f>
        <v/>
      </c>
      <c r="O755" s="12" t="str">
        <f aca="false">IF(OR(H755="",I755="",J755=""),"",IF(F755="Long",(I755-H755)*J755*IF(G755="",1,G755),(H755-I755)*J755*IF(G755="",1,G755)))</f>
        <v/>
      </c>
      <c r="P755" s="13" t="str">
        <f aca="false">IF(O755="","",O755-IF(N755="",0,N755))</f>
        <v/>
      </c>
      <c r="Q755" s="14" t="str">
        <f aca="false">IFERROR(IF(P755="","",P755/K755),"")</f>
        <v/>
      </c>
      <c r="R755" s="6"/>
      <c r="S755" s="5"/>
      <c r="T755" s="15"/>
    </row>
    <row r="756" customFormat="false" ht="18" hidden="false" customHeight="true" outlineLevel="0" collapsed="false">
      <c r="A756" s="16" t="str">
        <f aca="false">IF(B756&lt;&gt;"",ROW()-2,"")</f>
        <v/>
      </c>
      <c r="B756" s="17"/>
      <c r="C756" s="17"/>
      <c r="D756" s="18"/>
      <c r="E756" s="19"/>
      <c r="F756" s="18"/>
      <c r="G756" s="20"/>
      <c r="H756" s="21"/>
      <c r="I756" s="21"/>
      <c r="J756" s="22"/>
      <c r="K756" s="23" t="str">
        <f aca="false">IF(H756*J756=0,"",H756*J756)</f>
        <v/>
      </c>
      <c r="L756" s="24"/>
      <c r="M756" s="24"/>
      <c r="N756" s="23" t="str">
        <f aca="false">IF(L756+M756=0,"",L756+M756)</f>
        <v/>
      </c>
      <c r="O756" s="25" t="str">
        <f aca="false">IF(OR(H756="",I756="",J756=""),"",IF(F756="Long",(I756-H756)*J756*IF(G756="",1,G756),(H756-I756)*J756*IF(G756="",1,G756)))</f>
        <v/>
      </c>
      <c r="P756" s="26" t="str">
        <f aca="false">IF(O756="","",O756-IF(N756="",0,N756))</f>
        <v/>
      </c>
      <c r="Q756" s="27" t="str">
        <f aca="false">IFERROR(IF(P756="","",P756/K756),"")</f>
        <v/>
      </c>
      <c r="R756" s="19"/>
      <c r="S756" s="18"/>
      <c r="T756" s="28"/>
    </row>
    <row r="757" customFormat="false" ht="18" hidden="false" customHeight="true" outlineLevel="0" collapsed="false">
      <c r="A757" s="3" t="str">
        <f aca="false">IF(B757&lt;&gt;"",ROW()-2,"")</f>
        <v/>
      </c>
      <c r="B757" s="4"/>
      <c r="C757" s="4"/>
      <c r="D757" s="5"/>
      <c r="E757" s="6"/>
      <c r="F757" s="5"/>
      <c r="G757" s="7"/>
      <c r="H757" s="8"/>
      <c r="I757" s="8"/>
      <c r="J757" s="9"/>
      <c r="K757" s="10" t="str">
        <f aca="false">IF(H757*J757=0,"",H757*J757)</f>
        <v/>
      </c>
      <c r="L757" s="11"/>
      <c r="M757" s="11"/>
      <c r="N757" s="10" t="str">
        <f aca="false">IF(L757+M757=0,"",L757+M757)</f>
        <v/>
      </c>
      <c r="O757" s="12" t="str">
        <f aca="false">IF(OR(H757="",I757="",J757=""),"",IF(F757="Long",(I757-H757)*J757*IF(G757="",1,G757),(H757-I757)*J757*IF(G757="",1,G757)))</f>
        <v/>
      </c>
      <c r="P757" s="13" t="str">
        <f aca="false">IF(O757="","",O757-IF(N757="",0,N757))</f>
        <v/>
      </c>
      <c r="Q757" s="14" t="str">
        <f aca="false">IFERROR(IF(P757="","",P757/K757),"")</f>
        <v/>
      </c>
      <c r="R757" s="6"/>
      <c r="S757" s="5"/>
      <c r="T757" s="15"/>
    </row>
    <row r="758" customFormat="false" ht="18" hidden="false" customHeight="true" outlineLevel="0" collapsed="false">
      <c r="A758" s="16" t="str">
        <f aca="false">IF(B758&lt;&gt;"",ROW()-2,"")</f>
        <v/>
      </c>
      <c r="B758" s="17"/>
      <c r="C758" s="17"/>
      <c r="D758" s="18"/>
      <c r="E758" s="19"/>
      <c r="F758" s="18"/>
      <c r="G758" s="20"/>
      <c r="H758" s="21"/>
      <c r="I758" s="21"/>
      <c r="J758" s="22"/>
      <c r="K758" s="23" t="str">
        <f aca="false">IF(H758*J758=0,"",H758*J758)</f>
        <v/>
      </c>
      <c r="L758" s="24"/>
      <c r="M758" s="24"/>
      <c r="N758" s="23" t="str">
        <f aca="false">IF(L758+M758=0,"",L758+M758)</f>
        <v/>
      </c>
      <c r="O758" s="25" t="str">
        <f aca="false">IF(OR(H758="",I758="",J758=""),"",IF(F758="Long",(I758-H758)*J758*IF(G758="",1,G758),(H758-I758)*J758*IF(G758="",1,G758)))</f>
        <v/>
      </c>
      <c r="P758" s="26" t="str">
        <f aca="false">IF(O758="","",O758-IF(N758="",0,N758))</f>
        <v/>
      </c>
      <c r="Q758" s="27" t="str">
        <f aca="false">IFERROR(IF(P758="","",P758/K758),"")</f>
        <v/>
      </c>
      <c r="R758" s="19"/>
      <c r="S758" s="18"/>
      <c r="T758" s="28"/>
    </row>
    <row r="759" customFormat="false" ht="18" hidden="false" customHeight="true" outlineLevel="0" collapsed="false">
      <c r="A759" s="3" t="str">
        <f aca="false">IF(B759&lt;&gt;"",ROW()-2,"")</f>
        <v/>
      </c>
      <c r="B759" s="4"/>
      <c r="C759" s="4"/>
      <c r="D759" s="5"/>
      <c r="E759" s="6"/>
      <c r="F759" s="5"/>
      <c r="G759" s="7"/>
      <c r="H759" s="8"/>
      <c r="I759" s="8"/>
      <c r="J759" s="9"/>
      <c r="K759" s="10" t="str">
        <f aca="false">IF(H759*J759=0,"",H759*J759)</f>
        <v/>
      </c>
      <c r="L759" s="11"/>
      <c r="M759" s="11"/>
      <c r="N759" s="10" t="str">
        <f aca="false">IF(L759+M759=0,"",L759+M759)</f>
        <v/>
      </c>
      <c r="O759" s="12" t="str">
        <f aca="false">IF(OR(H759="",I759="",J759=""),"",IF(F759="Long",(I759-H759)*J759*IF(G759="",1,G759),(H759-I759)*J759*IF(G759="",1,G759)))</f>
        <v/>
      </c>
      <c r="P759" s="13" t="str">
        <f aca="false">IF(O759="","",O759-IF(N759="",0,N759))</f>
        <v/>
      </c>
      <c r="Q759" s="14" t="str">
        <f aca="false">IFERROR(IF(P759="","",P759/K759),"")</f>
        <v/>
      </c>
      <c r="R759" s="6"/>
      <c r="S759" s="5"/>
      <c r="T759" s="15"/>
    </row>
    <row r="760" customFormat="false" ht="18" hidden="false" customHeight="true" outlineLevel="0" collapsed="false">
      <c r="A760" s="16" t="str">
        <f aca="false">IF(B760&lt;&gt;"",ROW()-2,"")</f>
        <v/>
      </c>
      <c r="B760" s="17"/>
      <c r="C760" s="17"/>
      <c r="D760" s="18"/>
      <c r="E760" s="19"/>
      <c r="F760" s="18"/>
      <c r="G760" s="20"/>
      <c r="H760" s="21"/>
      <c r="I760" s="21"/>
      <c r="J760" s="22"/>
      <c r="K760" s="23" t="str">
        <f aca="false">IF(H760*J760=0,"",H760*J760)</f>
        <v/>
      </c>
      <c r="L760" s="24"/>
      <c r="M760" s="24"/>
      <c r="N760" s="23" t="str">
        <f aca="false">IF(L760+M760=0,"",L760+M760)</f>
        <v/>
      </c>
      <c r="O760" s="25" t="str">
        <f aca="false">IF(OR(H760="",I760="",J760=""),"",IF(F760="Long",(I760-H760)*J760*IF(G760="",1,G760),(H760-I760)*J760*IF(G760="",1,G760)))</f>
        <v/>
      </c>
      <c r="P760" s="26" t="str">
        <f aca="false">IF(O760="","",O760-IF(N760="",0,N760))</f>
        <v/>
      </c>
      <c r="Q760" s="27" t="str">
        <f aca="false">IFERROR(IF(P760="","",P760/K760),"")</f>
        <v/>
      </c>
      <c r="R760" s="19"/>
      <c r="S760" s="18"/>
      <c r="T760" s="28"/>
    </row>
    <row r="761" customFormat="false" ht="18" hidden="false" customHeight="true" outlineLevel="0" collapsed="false">
      <c r="A761" s="3" t="str">
        <f aca="false">IF(B761&lt;&gt;"",ROW()-2,"")</f>
        <v/>
      </c>
      <c r="B761" s="4"/>
      <c r="C761" s="4"/>
      <c r="D761" s="5"/>
      <c r="E761" s="6"/>
      <c r="F761" s="5"/>
      <c r="G761" s="7"/>
      <c r="H761" s="8"/>
      <c r="I761" s="8"/>
      <c r="J761" s="9"/>
      <c r="K761" s="10" t="str">
        <f aca="false">IF(H761*J761=0,"",H761*J761)</f>
        <v/>
      </c>
      <c r="L761" s="11"/>
      <c r="M761" s="11"/>
      <c r="N761" s="10" t="str">
        <f aca="false">IF(L761+M761=0,"",L761+M761)</f>
        <v/>
      </c>
      <c r="O761" s="12" t="str">
        <f aca="false">IF(OR(H761="",I761="",J761=""),"",IF(F761="Long",(I761-H761)*J761*IF(G761="",1,G761),(H761-I761)*J761*IF(G761="",1,G761)))</f>
        <v/>
      </c>
      <c r="P761" s="13" t="str">
        <f aca="false">IF(O761="","",O761-IF(N761="",0,N761))</f>
        <v/>
      </c>
      <c r="Q761" s="14" t="str">
        <f aca="false">IFERROR(IF(P761="","",P761/K761),"")</f>
        <v/>
      </c>
      <c r="R761" s="6"/>
      <c r="S761" s="5"/>
      <c r="T761" s="15"/>
    </row>
    <row r="762" customFormat="false" ht="18" hidden="false" customHeight="true" outlineLevel="0" collapsed="false">
      <c r="A762" s="16" t="str">
        <f aca="false">IF(B762&lt;&gt;"",ROW()-2,"")</f>
        <v/>
      </c>
      <c r="B762" s="17"/>
      <c r="C762" s="17"/>
      <c r="D762" s="18"/>
      <c r="E762" s="19"/>
      <c r="F762" s="18"/>
      <c r="G762" s="20"/>
      <c r="H762" s="21"/>
      <c r="I762" s="21"/>
      <c r="J762" s="22"/>
      <c r="K762" s="23" t="str">
        <f aca="false">IF(H762*J762=0,"",H762*J762)</f>
        <v/>
      </c>
      <c r="L762" s="24"/>
      <c r="M762" s="24"/>
      <c r="N762" s="23" t="str">
        <f aca="false">IF(L762+M762=0,"",L762+M762)</f>
        <v/>
      </c>
      <c r="O762" s="25" t="str">
        <f aca="false">IF(OR(H762="",I762="",J762=""),"",IF(F762="Long",(I762-H762)*J762*IF(G762="",1,G762),(H762-I762)*J762*IF(G762="",1,G762)))</f>
        <v/>
      </c>
      <c r="P762" s="26" t="str">
        <f aca="false">IF(O762="","",O762-IF(N762="",0,N762))</f>
        <v/>
      </c>
      <c r="Q762" s="27" t="str">
        <f aca="false">IFERROR(IF(P762="","",P762/K762),"")</f>
        <v/>
      </c>
      <c r="R762" s="19"/>
      <c r="S762" s="18"/>
      <c r="T762" s="28"/>
    </row>
    <row r="763" customFormat="false" ht="18" hidden="false" customHeight="true" outlineLevel="0" collapsed="false">
      <c r="A763" s="3" t="str">
        <f aca="false">IF(B763&lt;&gt;"",ROW()-2,"")</f>
        <v/>
      </c>
      <c r="B763" s="4"/>
      <c r="C763" s="4"/>
      <c r="D763" s="5"/>
      <c r="E763" s="6"/>
      <c r="F763" s="5"/>
      <c r="G763" s="7"/>
      <c r="H763" s="8"/>
      <c r="I763" s="8"/>
      <c r="J763" s="9"/>
      <c r="K763" s="10" t="str">
        <f aca="false">IF(H763*J763=0,"",H763*J763)</f>
        <v/>
      </c>
      <c r="L763" s="11"/>
      <c r="M763" s="11"/>
      <c r="N763" s="10" t="str">
        <f aca="false">IF(L763+M763=0,"",L763+M763)</f>
        <v/>
      </c>
      <c r="O763" s="12" t="str">
        <f aca="false">IF(OR(H763="",I763="",J763=""),"",IF(F763="Long",(I763-H763)*J763*IF(G763="",1,G763),(H763-I763)*J763*IF(G763="",1,G763)))</f>
        <v/>
      </c>
      <c r="P763" s="13" t="str">
        <f aca="false">IF(O763="","",O763-IF(N763="",0,N763))</f>
        <v/>
      </c>
      <c r="Q763" s="14" t="str">
        <f aca="false">IFERROR(IF(P763="","",P763/K763),"")</f>
        <v/>
      </c>
      <c r="R763" s="6"/>
      <c r="S763" s="5"/>
      <c r="T763" s="15"/>
    </row>
    <row r="764" customFormat="false" ht="18" hidden="false" customHeight="true" outlineLevel="0" collapsed="false">
      <c r="A764" s="16" t="str">
        <f aca="false">IF(B764&lt;&gt;"",ROW()-2,"")</f>
        <v/>
      </c>
      <c r="B764" s="17"/>
      <c r="C764" s="17"/>
      <c r="D764" s="18"/>
      <c r="E764" s="19"/>
      <c r="F764" s="18"/>
      <c r="G764" s="20"/>
      <c r="H764" s="21"/>
      <c r="I764" s="21"/>
      <c r="J764" s="22"/>
      <c r="K764" s="23" t="str">
        <f aca="false">IF(H764*J764=0,"",H764*J764)</f>
        <v/>
      </c>
      <c r="L764" s="24"/>
      <c r="M764" s="24"/>
      <c r="N764" s="23" t="str">
        <f aca="false">IF(L764+M764=0,"",L764+M764)</f>
        <v/>
      </c>
      <c r="O764" s="25" t="str">
        <f aca="false">IF(OR(H764="",I764="",J764=""),"",IF(F764="Long",(I764-H764)*J764*IF(G764="",1,G764),(H764-I764)*J764*IF(G764="",1,G764)))</f>
        <v/>
      </c>
      <c r="P764" s="26" t="str">
        <f aca="false">IF(O764="","",O764-IF(N764="",0,N764))</f>
        <v/>
      </c>
      <c r="Q764" s="27" t="str">
        <f aca="false">IFERROR(IF(P764="","",P764/K764),"")</f>
        <v/>
      </c>
      <c r="R764" s="19"/>
      <c r="S764" s="18"/>
      <c r="T764" s="28"/>
    </row>
    <row r="765" customFormat="false" ht="18" hidden="false" customHeight="true" outlineLevel="0" collapsed="false">
      <c r="A765" s="3" t="str">
        <f aca="false">IF(B765&lt;&gt;"",ROW()-2,"")</f>
        <v/>
      </c>
      <c r="B765" s="4"/>
      <c r="C765" s="4"/>
      <c r="D765" s="5"/>
      <c r="E765" s="6"/>
      <c r="F765" s="5"/>
      <c r="G765" s="7"/>
      <c r="H765" s="8"/>
      <c r="I765" s="8"/>
      <c r="J765" s="9"/>
      <c r="K765" s="10" t="str">
        <f aca="false">IF(H765*J765=0,"",H765*J765)</f>
        <v/>
      </c>
      <c r="L765" s="11"/>
      <c r="M765" s="11"/>
      <c r="N765" s="10" t="str">
        <f aca="false">IF(L765+M765=0,"",L765+M765)</f>
        <v/>
      </c>
      <c r="O765" s="12" t="str">
        <f aca="false">IF(OR(H765="",I765="",J765=""),"",IF(F765="Long",(I765-H765)*J765*IF(G765="",1,G765),(H765-I765)*J765*IF(G765="",1,G765)))</f>
        <v/>
      </c>
      <c r="P765" s="13" t="str">
        <f aca="false">IF(O765="","",O765-IF(N765="",0,N765))</f>
        <v/>
      </c>
      <c r="Q765" s="14" t="str">
        <f aca="false">IFERROR(IF(P765="","",P765/K765),"")</f>
        <v/>
      </c>
      <c r="R765" s="6"/>
      <c r="S765" s="5"/>
      <c r="T765" s="15"/>
    </row>
    <row r="766" customFormat="false" ht="18" hidden="false" customHeight="true" outlineLevel="0" collapsed="false">
      <c r="A766" s="16" t="str">
        <f aca="false">IF(B766&lt;&gt;"",ROW()-2,"")</f>
        <v/>
      </c>
      <c r="B766" s="17"/>
      <c r="C766" s="17"/>
      <c r="D766" s="18"/>
      <c r="E766" s="19"/>
      <c r="F766" s="18"/>
      <c r="G766" s="20"/>
      <c r="H766" s="21"/>
      <c r="I766" s="21"/>
      <c r="J766" s="22"/>
      <c r="K766" s="23" t="str">
        <f aca="false">IF(H766*J766=0,"",H766*J766)</f>
        <v/>
      </c>
      <c r="L766" s="24"/>
      <c r="M766" s="24"/>
      <c r="N766" s="23" t="str">
        <f aca="false">IF(L766+M766=0,"",L766+M766)</f>
        <v/>
      </c>
      <c r="O766" s="25" t="str">
        <f aca="false">IF(OR(H766="",I766="",J766=""),"",IF(F766="Long",(I766-H766)*J766*IF(G766="",1,G766),(H766-I766)*J766*IF(G766="",1,G766)))</f>
        <v/>
      </c>
      <c r="P766" s="26" t="str">
        <f aca="false">IF(O766="","",O766-IF(N766="",0,N766))</f>
        <v/>
      </c>
      <c r="Q766" s="27" t="str">
        <f aca="false">IFERROR(IF(P766="","",P766/K766),"")</f>
        <v/>
      </c>
      <c r="R766" s="19"/>
      <c r="S766" s="18"/>
      <c r="T766" s="28"/>
    </row>
    <row r="767" customFormat="false" ht="18" hidden="false" customHeight="true" outlineLevel="0" collapsed="false">
      <c r="A767" s="3" t="str">
        <f aca="false">IF(B767&lt;&gt;"",ROW()-2,"")</f>
        <v/>
      </c>
      <c r="B767" s="4"/>
      <c r="C767" s="4"/>
      <c r="D767" s="5"/>
      <c r="E767" s="6"/>
      <c r="F767" s="5"/>
      <c r="G767" s="7"/>
      <c r="H767" s="8"/>
      <c r="I767" s="8"/>
      <c r="J767" s="9"/>
      <c r="K767" s="10" t="str">
        <f aca="false">IF(H767*J767=0,"",H767*J767)</f>
        <v/>
      </c>
      <c r="L767" s="11"/>
      <c r="M767" s="11"/>
      <c r="N767" s="10" t="str">
        <f aca="false">IF(L767+M767=0,"",L767+M767)</f>
        <v/>
      </c>
      <c r="O767" s="12" t="str">
        <f aca="false">IF(OR(H767="",I767="",J767=""),"",IF(F767="Long",(I767-H767)*J767*IF(G767="",1,G767),(H767-I767)*J767*IF(G767="",1,G767)))</f>
        <v/>
      </c>
      <c r="P767" s="13" t="str">
        <f aca="false">IF(O767="","",O767-IF(N767="",0,N767))</f>
        <v/>
      </c>
      <c r="Q767" s="14" t="str">
        <f aca="false">IFERROR(IF(P767="","",P767/K767),"")</f>
        <v/>
      </c>
      <c r="R767" s="6"/>
      <c r="S767" s="5"/>
      <c r="T767" s="15"/>
    </row>
    <row r="768" customFormat="false" ht="18" hidden="false" customHeight="true" outlineLevel="0" collapsed="false">
      <c r="A768" s="16" t="str">
        <f aca="false">IF(B768&lt;&gt;"",ROW()-2,"")</f>
        <v/>
      </c>
      <c r="B768" s="17"/>
      <c r="C768" s="17"/>
      <c r="D768" s="18"/>
      <c r="E768" s="19"/>
      <c r="F768" s="18"/>
      <c r="G768" s="20"/>
      <c r="H768" s="21"/>
      <c r="I768" s="21"/>
      <c r="J768" s="22"/>
      <c r="K768" s="23" t="str">
        <f aca="false">IF(H768*J768=0,"",H768*J768)</f>
        <v/>
      </c>
      <c r="L768" s="24"/>
      <c r="M768" s="24"/>
      <c r="N768" s="23" t="str">
        <f aca="false">IF(L768+M768=0,"",L768+M768)</f>
        <v/>
      </c>
      <c r="O768" s="25" t="str">
        <f aca="false">IF(OR(H768="",I768="",J768=""),"",IF(F768="Long",(I768-H768)*J768*IF(G768="",1,G768),(H768-I768)*J768*IF(G768="",1,G768)))</f>
        <v/>
      </c>
      <c r="P768" s="26" t="str">
        <f aca="false">IF(O768="","",O768-IF(N768="",0,N768))</f>
        <v/>
      </c>
      <c r="Q768" s="27" t="str">
        <f aca="false">IFERROR(IF(P768="","",P768/K768),"")</f>
        <v/>
      </c>
      <c r="R768" s="19"/>
      <c r="S768" s="18"/>
      <c r="T768" s="28"/>
    </row>
    <row r="769" customFormat="false" ht="18" hidden="false" customHeight="true" outlineLevel="0" collapsed="false">
      <c r="A769" s="3" t="str">
        <f aca="false">IF(B769&lt;&gt;"",ROW()-2,"")</f>
        <v/>
      </c>
      <c r="B769" s="4"/>
      <c r="C769" s="4"/>
      <c r="D769" s="5"/>
      <c r="E769" s="6"/>
      <c r="F769" s="5"/>
      <c r="G769" s="7"/>
      <c r="H769" s="8"/>
      <c r="I769" s="8"/>
      <c r="J769" s="9"/>
      <c r="K769" s="10" t="str">
        <f aca="false">IF(H769*J769=0,"",H769*J769)</f>
        <v/>
      </c>
      <c r="L769" s="11"/>
      <c r="M769" s="11"/>
      <c r="N769" s="10" t="str">
        <f aca="false">IF(L769+M769=0,"",L769+M769)</f>
        <v/>
      </c>
      <c r="O769" s="12" t="str">
        <f aca="false">IF(OR(H769="",I769="",J769=""),"",IF(F769="Long",(I769-H769)*J769*IF(G769="",1,G769),(H769-I769)*J769*IF(G769="",1,G769)))</f>
        <v/>
      </c>
      <c r="P769" s="13" t="str">
        <f aca="false">IF(O769="","",O769-IF(N769="",0,N769))</f>
        <v/>
      </c>
      <c r="Q769" s="14" t="str">
        <f aca="false">IFERROR(IF(P769="","",P769/K769),"")</f>
        <v/>
      </c>
      <c r="R769" s="6"/>
      <c r="S769" s="5"/>
      <c r="T769" s="15"/>
    </row>
    <row r="770" customFormat="false" ht="18" hidden="false" customHeight="true" outlineLevel="0" collapsed="false">
      <c r="A770" s="16" t="str">
        <f aca="false">IF(B770&lt;&gt;"",ROW()-2,"")</f>
        <v/>
      </c>
      <c r="B770" s="17"/>
      <c r="C770" s="17"/>
      <c r="D770" s="18"/>
      <c r="E770" s="19"/>
      <c r="F770" s="18"/>
      <c r="G770" s="20"/>
      <c r="H770" s="21"/>
      <c r="I770" s="21"/>
      <c r="J770" s="22"/>
      <c r="K770" s="23" t="str">
        <f aca="false">IF(H770*J770=0,"",H770*J770)</f>
        <v/>
      </c>
      <c r="L770" s="24"/>
      <c r="M770" s="24"/>
      <c r="N770" s="23" t="str">
        <f aca="false">IF(L770+M770=0,"",L770+M770)</f>
        <v/>
      </c>
      <c r="O770" s="25" t="str">
        <f aca="false">IF(OR(H770="",I770="",J770=""),"",IF(F770="Long",(I770-H770)*J770*IF(G770="",1,G770),(H770-I770)*J770*IF(G770="",1,G770)))</f>
        <v/>
      </c>
      <c r="P770" s="26" t="str">
        <f aca="false">IF(O770="","",O770-IF(N770="",0,N770))</f>
        <v/>
      </c>
      <c r="Q770" s="27" t="str">
        <f aca="false">IFERROR(IF(P770="","",P770/K770),"")</f>
        <v/>
      </c>
      <c r="R770" s="19"/>
      <c r="S770" s="18"/>
      <c r="T770" s="28"/>
    </row>
    <row r="771" customFormat="false" ht="18" hidden="false" customHeight="true" outlineLevel="0" collapsed="false">
      <c r="A771" s="3" t="str">
        <f aca="false">IF(B771&lt;&gt;"",ROW()-2,"")</f>
        <v/>
      </c>
      <c r="B771" s="4"/>
      <c r="C771" s="4"/>
      <c r="D771" s="5"/>
      <c r="E771" s="6"/>
      <c r="F771" s="5"/>
      <c r="G771" s="7"/>
      <c r="H771" s="8"/>
      <c r="I771" s="8"/>
      <c r="J771" s="9"/>
      <c r="K771" s="10" t="str">
        <f aca="false">IF(H771*J771=0,"",H771*J771)</f>
        <v/>
      </c>
      <c r="L771" s="11"/>
      <c r="M771" s="11"/>
      <c r="N771" s="10" t="str">
        <f aca="false">IF(L771+M771=0,"",L771+M771)</f>
        <v/>
      </c>
      <c r="O771" s="12" t="str">
        <f aca="false">IF(OR(H771="",I771="",J771=""),"",IF(F771="Long",(I771-H771)*J771*IF(G771="",1,G771),(H771-I771)*J771*IF(G771="",1,G771)))</f>
        <v/>
      </c>
      <c r="P771" s="13" t="str">
        <f aca="false">IF(O771="","",O771-IF(N771="",0,N771))</f>
        <v/>
      </c>
      <c r="Q771" s="14" t="str">
        <f aca="false">IFERROR(IF(P771="","",P771/K771),"")</f>
        <v/>
      </c>
      <c r="R771" s="6"/>
      <c r="S771" s="5"/>
      <c r="T771" s="15"/>
    </row>
    <row r="772" customFormat="false" ht="18" hidden="false" customHeight="true" outlineLevel="0" collapsed="false">
      <c r="A772" s="16" t="str">
        <f aca="false">IF(B772&lt;&gt;"",ROW()-2,"")</f>
        <v/>
      </c>
      <c r="B772" s="17"/>
      <c r="C772" s="17"/>
      <c r="D772" s="18"/>
      <c r="E772" s="19"/>
      <c r="F772" s="18"/>
      <c r="G772" s="20"/>
      <c r="H772" s="21"/>
      <c r="I772" s="21"/>
      <c r="J772" s="22"/>
      <c r="K772" s="23" t="str">
        <f aca="false">IF(H772*J772=0,"",H772*J772)</f>
        <v/>
      </c>
      <c r="L772" s="24"/>
      <c r="M772" s="24"/>
      <c r="N772" s="23" t="str">
        <f aca="false">IF(L772+M772=0,"",L772+M772)</f>
        <v/>
      </c>
      <c r="O772" s="25" t="str">
        <f aca="false">IF(OR(H772="",I772="",J772=""),"",IF(F772="Long",(I772-H772)*J772*IF(G772="",1,G772),(H772-I772)*J772*IF(G772="",1,G772)))</f>
        <v/>
      </c>
      <c r="P772" s="26" t="str">
        <f aca="false">IF(O772="","",O772-IF(N772="",0,N772))</f>
        <v/>
      </c>
      <c r="Q772" s="27" t="str">
        <f aca="false">IFERROR(IF(P772="","",P772/K772),"")</f>
        <v/>
      </c>
      <c r="R772" s="19"/>
      <c r="S772" s="18"/>
      <c r="T772" s="28"/>
    </row>
    <row r="773" customFormat="false" ht="18" hidden="false" customHeight="true" outlineLevel="0" collapsed="false">
      <c r="A773" s="3" t="str">
        <f aca="false">IF(B773&lt;&gt;"",ROW()-2,"")</f>
        <v/>
      </c>
      <c r="B773" s="4"/>
      <c r="C773" s="4"/>
      <c r="D773" s="5"/>
      <c r="E773" s="6"/>
      <c r="F773" s="5"/>
      <c r="G773" s="7"/>
      <c r="H773" s="8"/>
      <c r="I773" s="8"/>
      <c r="J773" s="9"/>
      <c r="K773" s="10" t="str">
        <f aca="false">IF(H773*J773=0,"",H773*J773)</f>
        <v/>
      </c>
      <c r="L773" s="11"/>
      <c r="M773" s="11"/>
      <c r="N773" s="10" t="str">
        <f aca="false">IF(L773+M773=0,"",L773+M773)</f>
        <v/>
      </c>
      <c r="O773" s="12" t="str">
        <f aca="false">IF(OR(H773="",I773="",J773=""),"",IF(F773="Long",(I773-H773)*J773*IF(G773="",1,G773),(H773-I773)*J773*IF(G773="",1,G773)))</f>
        <v/>
      </c>
      <c r="P773" s="13" t="str">
        <f aca="false">IF(O773="","",O773-IF(N773="",0,N773))</f>
        <v/>
      </c>
      <c r="Q773" s="14" t="str">
        <f aca="false">IFERROR(IF(P773="","",P773/K773),"")</f>
        <v/>
      </c>
      <c r="R773" s="6"/>
      <c r="S773" s="5"/>
      <c r="T773" s="15"/>
    </row>
    <row r="774" customFormat="false" ht="18" hidden="false" customHeight="true" outlineLevel="0" collapsed="false">
      <c r="A774" s="16" t="str">
        <f aca="false">IF(B774&lt;&gt;"",ROW()-2,"")</f>
        <v/>
      </c>
      <c r="B774" s="17"/>
      <c r="C774" s="17"/>
      <c r="D774" s="18"/>
      <c r="E774" s="19"/>
      <c r="F774" s="18"/>
      <c r="G774" s="20"/>
      <c r="H774" s="21"/>
      <c r="I774" s="21"/>
      <c r="J774" s="22"/>
      <c r="K774" s="23" t="str">
        <f aca="false">IF(H774*J774=0,"",H774*J774)</f>
        <v/>
      </c>
      <c r="L774" s="24"/>
      <c r="M774" s="24"/>
      <c r="N774" s="23" t="str">
        <f aca="false">IF(L774+M774=0,"",L774+M774)</f>
        <v/>
      </c>
      <c r="O774" s="25" t="str">
        <f aca="false">IF(OR(H774="",I774="",J774=""),"",IF(F774="Long",(I774-H774)*J774*IF(G774="",1,G774),(H774-I774)*J774*IF(G774="",1,G774)))</f>
        <v/>
      </c>
      <c r="P774" s="26" t="str">
        <f aca="false">IF(O774="","",O774-IF(N774="",0,N774))</f>
        <v/>
      </c>
      <c r="Q774" s="27" t="str">
        <f aca="false">IFERROR(IF(P774="","",P774/K774),"")</f>
        <v/>
      </c>
      <c r="R774" s="19"/>
      <c r="S774" s="18"/>
      <c r="T774" s="28"/>
    </row>
    <row r="775" customFormat="false" ht="18" hidden="false" customHeight="true" outlineLevel="0" collapsed="false">
      <c r="A775" s="3" t="str">
        <f aca="false">IF(B775&lt;&gt;"",ROW()-2,"")</f>
        <v/>
      </c>
      <c r="B775" s="4"/>
      <c r="C775" s="4"/>
      <c r="D775" s="5"/>
      <c r="E775" s="6"/>
      <c r="F775" s="5"/>
      <c r="G775" s="7"/>
      <c r="H775" s="8"/>
      <c r="I775" s="8"/>
      <c r="J775" s="9"/>
      <c r="K775" s="10" t="str">
        <f aca="false">IF(H775*J775=0,"",H775*J775)</f>
        <v/>
      </c>
      <c r="L775" s="11"/>
      <c r="M775" s="11"/>
      <c r="N775" s="10" t="str">
        <f aca="false">IF(L775+M775=0,"",L775+M775)</f>
        <v/>
      </c>
      <c r="O775" s="12" t="str">
        <f aca="false">IF(OR(H775="",I775="",J775=""),"",IF(F775="Long",(I775-H775)*J775*IF(G775="",1,G775),(H775-I775)*J775*IF(G775="",1,G775)))</f>
        <v/>
      </c>
      <c r="P775" s="13" t="str">
        <f aca="false">IF(O775="","",O775-IF(N775="",0,N775))</f>
        <v/>
      </c>
      <c r="Q775" s="14" t="str">
        <f aca="false">IFERROR(IF(P775="","",P775/K775),"")</f>
        <v/>
      </c>
      <c r="R775" s="6"/>
      <c r="S775" s="5"/>
      <c r="T775" s="15"/>
    </row>
    <row r="776" customFormat="false" ht="18" hidden="false" customHeight="true" outlineLevel="0" collapsed="false">
      <c r="A776" s="16" t="str">
        <f aca="false">IF(B776&lt;&gt;"",ROW()-2,"")</f>
        <v/>
      </c>
      <c r="B776" s="17"/>
      <c r="C776" s="17"/>
      <c r="D776" s="18"/>
      <c r="E776" s="19"/>
      <c r="F776" s="18"/>
      <c r="G776" s="20"/>
      <c r="H776" s="21"/>
      <c r="I776" s="21"/>
      <c r="J776" s="22"/>
      <c r="K776" s="23" t="str">
        <f aca="false">IF(H776*J776=0,"",H776*J776)</f>
        <v/>
      </c>
      <c r="L776" s="24"/>
      <c r="M776" s="24"/>
      <c r="N776" s="23" t="str">
        <f aca="false">IF(L776+M776=0,"",L776+M776)</f>
        <v/>
      </c>
      <c r="O776" s="25" t="str">
        <f aca="false">IF(OR(H776="",I776="",J776=""),"",IF(F776="Long",(I776-H776)*J776*IF(G776="",1,G776),(H776-I776)*J776*IF(G776="",1,G776)))</f>
        <v/>
      </c>
      <c r="P776" s="26" t="str">
        <f aca="false">IF(O776="","",O776-IF(N776="",0,N776))</f>
        <v/>
      </c>
      <c r="Q776" s="27" t="str">
        <f aca="false">IFERROR(IF(P776="","",P776/K776),"")</f>
        <v/>
      </c>
      <c r="R776" s="19"/>
      <c r="S776" s="18"/>
      <c r="T776" s="28"/>
    </row>
    <row r="777" customFormat="false" ht="18" hidden="false" customHeight="true" outlineLevel="0" collapsed="false">
      <c r="A777" s="3" t="str">
        <f aca="false">IF(B777&lt;&gt;"",ROW()-2,"")</f>
        <v/>
      </c>
      <c r="B777" s="4"/>
      <c r="C777" s="4"/>
      <c r="D777" s="5"/>
      <c r="E777" s="6"/>
      <c r="F777" s="5"/>
      <c r="G777" s="7"/>
      <c r="H777" s="8"/>
      <c r="I777" s="8"/>
      <c r="J777" s="9"/>
      <c r="K777" s="10" t="str">
        <f aca="false">IF(H777*J777=0,"",H777*J777)</f>
        <v/>
      </c>
      <c r="L777" s="11"/>
      <c r="M777" s="11"/>
      <c r="N777" s="10" t="str">
        <f aca="false">IF(L777+M777=0,"",L777+M777)</f>
        <v/>
      </c>
      <c r="O777" s="12" t="str">
        <f aca="false">IF(OR(H777="",I777="",J777=""),"",IF(F777="Long",(I777-H777)*J777*IF(G777="",1,G777),(H777-I777)*J777*IF(G777="",1,G777)))</f>
        <v/>
      </c>
      <c r="P777" s="13" t="str">
        <f aca="false">IF(O777="","",O777-IF(N777="",0,N777))</f>
        <v/>
      </c>
      <c r="Q777" s="14" t="str">
        <f aca="false">IFERROR(IF(P777="","",P777/K777),"")</f>
        <v/>
      </c>
      <c r="R777" s="6"/>
      <c r="S777" s="5"/>
      <c r="T777" s="15"/>
    </row>
    <row r="778" customFormat="false" ht="18" hidden="false" customHeight="true" outlineLevel="0" collapsed="false">
      <c r="A778" s="16" t="str">
        <f aca="false">IF(B778&lt;&gt;"",ROW()-2,"")</f>
        <v/>
      </c>
      <c r="B778" s="17"/>
      <c r="C778" s="17"/>
      <c r="D778" s="18"/>
      <c r="E778" s="19"/>
      <c r="F778" s="18"/>
      <c r="G778" s="20"/>
      <c r="H778" s="21"/>
      <c r="I778" s="21"/>
      <c r="J778" s="22"/>
      <c r="K778" s="23" t="str">
        <f aca="false">IF(H778*J778=0,"",H778*J778)</f>
        <v/>
      </c>
      <c r="L778" s="24"/>
      <c r="M778" s="24"/>
      <c r="N778" s="23" t="str">
        <f aca="false">IF(L778+M778=0,"",L778+M778)</f>
        <v/>
      </c>
      <c r="O778" s="25" t="str">
        <f aca="false">IF(OR(H778="",I778="",J778=""),"",IF(F778="Long",(I778-H778)*J778*IF(G778="",1,G778),(H778-I778)*J778*IF(G778="",1,G778)))</f>
        <v/>
      </c>
      <c r="P778" s="26" t="str">
        <f aca="false">IF(O778="","",O778-IF(N778="",0,N778))</f>
        <v/>
      </c>
      <c r="Q778" s="27" t="str">
        <f aca="false">IFERROR(IF(P778="","",P778/K778),"")</f>
        <v/>
      </c>
      <c r="R778" s="19"/>
      <c r="S778" s="18"/>
      <c r="T778" s="28"/>
    </row>
    <row r="779" customFormat="false" ht="18" hidden="false" customHeight="true" outlineLevel="0" collapsed="false">
      <c r="A779" s="3" t="str">
        <f aca="false">IF(B779&lt;&gt;"",ROW()-2,"")</f>
        <v/>
      </c>
      <c r="B779" s="4"/>
      <c r="C779" s="4"/>
      <c r="D779" s="5"/>
      <c r="E779" s="6"/>
      <c r="F779" s="5"/>
      <c r="G779" s="7"/>
      <c r="H779" s="8"/>
      <c r="I779" s="8"/>
      <c r="J779" s="9"/>
      <c r="K779" s="10" t="str">
        <f aca="false">IF(H779*J779=0,"",H779*J779)</f>
        <v/>
      </c>
      <c r="L779" s="11"/>
      <c r="M779" s="11"/>
      <c r="N779" s="10" t="str">
        <f aca="false">IF(L779+M779=0,"",L779+M779)</f>
        <v/>
      </c>
      <c r="O779" s="12" t="str">
        <f aca="false">IF(OR(H779="",I779="",J779=""),"",IF(F779="Long",(I779-H779)*J779*IF(G779="",1,G779),(H779-I779)*J779*IF(G779="",1,G779)))</f>
        <v/>
      </c>
      <c r="P779" s="13" t="str">
        <f aca="false">IF(O779="","",O779-IF(N779="",0,N779))</f>
        <v/>
      </c>
      <c r="Q779" s="14" t="str">
        <f aca="false">IFERROR(IF(P779="","",P779/K779),"")</f>
        <v/>
      </c>
      <c r="R779" s="6"/>
      <c r="S779" s="5"/>
      <c r="T779" s="15"/>
    </row>
    <row r="780" customFormat="false" ht="18" hidden="false" customHeight="true" outlineLevel="0" collapsed="false">
      <c r="A780" s="16" t="str">
        <f aca="false">IF(B780&lt;&gt;"",ROW()-2,"")</f>
        <v/>
      </c>
      <c r="B780" s="17"/>
      <c r="C780" s="17"/>
      <c r="D780" s="18"/>
      <c r="E780" s="19"/>
      <c r="F780" s="18"/>
      <c r="G780" s="20"/>
      <c r="H780" s="21"/>
      <c r="I780" s="21"/>
      <c r="J780" s="22"/>
      <c r="K780" s="23" t="str">
        <f aca="false">IF(H780*J780=0,"",H780*J780)</f>
        <v/>
      </c>
      <c r="L780" s="24"/>
      <c r="M780" s="24"/>
      <c r="N780" s="23" t="str">
        <f aca="false">IF(L780+M780=0,"",L780+M780)</f>
        <v/>
      </c>
      <c r="O780" s="25" t="str">
        <f aca="false">IF(OR(H780="",I780="",J780=""),"",IF(F780="Long",(I780-H780)*J780*IF(G780="",1,G780),(H780-I780)*J780*IF(G780="",1,G780)))</f>
        <v/>
      </c>
      <c r="P780" s="26" t="str">
        <f aca="false">IF(O780="","",O780-IF(N780="",0,N780))</f>
        <v/>
      </c>
      <c r="Q780" s="27" t="str">
        <f aca="false">IFERROR(IF(P780="","",P780/K780),"")</f>
        <v/>
      </c>
      <c r="R780" s="19"/>
      <c r="S780" s="18"/>
      <c r="T780" s="28"/>
    </row>
    <row r="781" customFormat="false" ht="18" hidden="false" customHeight="true" outlineLevel="0" collapsed="false">
      <c r="A781" s="3" t="str">
        <f aca="false">IF(B781&lt;&gt;"",ROW()-2,"")</f>
        <v/>
      </c>
      <c r="B781" s="4"/>
      <c r="C781" s="4"/>
      <c r="D781" s="5"/>
      <c r="E781" s="6"/>
      <c r="F781" s="5"/>
      <c r="G781" s="7"/>
      <c r="H781" s="8"/>
      <c r="I781" s="8"/>
      <c r="J781" s="9"/>
      <c r="K781" s="10" t="str">
        <f aca="false">IF(H781*J781=0,"",H781*J781)</f>
        <v/>
      </c>
      <c r="L781" s="11"/>
      <c r="M781" s="11"/>
      <c r="N781" s="10" t="str">
        <f aca="false">IF(L781+M781=0,"",L781+M781)</f>
        <v/>
      </c>
      <c r="O781" s="12" t="str">
        <f aca="false">IF(OR(H781="",I781="",J781=""),"",IF(F781="Long",(I781-H781)*J781*IF(G781="",1,G781),(H781-I781)*J781*IF(G781="",1,G781)))</f>
        <v/>
      </c>
      <c r="P781" s="13" t="str">
        <f aca="false">IF(O781="","",O781-IF(N781="",0,N781))</f>
        <v/>
      </c>
      <c r="Q781" s="14" t="str">
        <f aca="false">IFERROR(IF(P781="","",P781/K781),"")</f>
        <v/>
      </c>
      <c r="R781" s="6"/>
      <c r="S781" s="5"/>
      <c r="T781" s="15"/>
    </row>
    <row r="782" customFormat="false" ht="18" hidden="false" customHeight="true" outlineLevel="0" collapsed="false">
      <c r="A782" s="16" t="str">
        <f aca="false">IF(B782&lt;&gt;"",ROW()-2,"")</f>
        <v/>
      </c>
      <c r="B782" s="17"/>
      <c r="C782" s="17"/>
      <c r="D782" s="18"/>
      <c r="E782" s="19"/>
      <c r="F782" s="18"/>
      <c r="G782" s="20"/>
      <c r="H782" s="21"/>
      <c r="I782" s="21"/>
      <c r="J782" s="22"/>
      <c r="K782" s="23" t="str">
        <f aca="false">IF(H782*J782=0,"",H782*J782)</f>
        <v/>
      </c>
      <c r="L782" s="24"/>
      <c r="M782" s="24"/>
      <c r="N782" s="23" t="str">
        <f aca="false">IF(L782+M782=0,"",L782+M782)</f>
        <v/>
      </c>
      <c r="O782" s="25" t="str">
        <f aca="false">IF(OR(H782="",I782="",J782=""),"",IF(F782="Long",(I782-H782)*J782*IF(G782="",1,G782),(H782-I782)*J782*IF(G782="",1,G782)))</f>
        <v/>
      </c>
      <c r="P782" s="26" t="str">
        <f aca="false">IF(O782="","",O782-IF(N782="",0,N782))</f>
        <v/>
      </c>
      <c r="Q782" s="27" t="str">
        <f aca="false">IFERROR(IF(P782="","",P782/K782),"")</f>
        <v/>
      </c>
      <c r="R782" s="19"/>
      <c r="S782" s="18"/>
      <c r="T782" s="28"/>
    </row>
    <row r="783" customFormat="false" ht="18" hidden="false" customHeight="true" outlineLevel="0" collapsed="false">
      <c r="A783" s="3" t="str">
        <f aca="false">IF(B783&lt;&gt;"",ROW()-2,"")</f>
        <v/>
      </c>
      <c r="B783" s="4"/>
      <c r="C783" s="4"/>
      <c r="D783" s="5"/>
      <c r="E783" s="6"/>
      <c r="F783" s="5"/>
      <c r="G783" s="7"/>
      <c r="H783" s="8"/>
      <c r="I783" s="8"/>
      <c r="J783" s="9"/>
      <c r="K783" s="10" t="str">
        <f aca="false">IF(H783*J783=0,"",H783*J783)</f>
        <v/>
      </c>
      <c r="L783" s="11"/>
      <c r="M783" s="11"/>
      <c r="N783" s="10" t="str">
        <f aca="false">IF(L783+M783=0,"",L783+M783)</f>
        <v/>
      </c>
      <c r="O783" s="12" t="str">
        <f aca="false">IF(OR(H783="",I783="",J783=""),"",IF(F783="Long",(I783-H783)*J783*IF(G783="",1,G783),(H783-I783)*J783*IF(G783="",1,G783)))</f>
        <v/>
      </c>
      <c r="P783" s="13" t="str">
        <f aca="false">IF(O783="","",O783-IF(N783="",0,N783))</f>
        <v/>
      </c>
      <c r="Q783" s="14" t="str">
        <f aca="false">IFERROR(IF(P783="","",P783/K783),"")</f>
        <v/>
      </c>
      <c r="R783" s="6"/>
      <c r="S783" s="5"/>
      <c r="T783" s="15"/>
    </row>
    <row r="784" customFormat="false" ht="18" hidden="false" customHeight="true" outlineLevel="0" collapsed="false">
      <c r="A784" s="16" t="str">
        <f aca="false">IF(B784&lt;&gt;"",ROW()-2,"")</f>
        <v/>
      </c>
      <c r="B784" s="17"/>
      <c r="C784" s="17"/>
      <c r="D784" s="18"/>
      <c r="E784" s="19"/>
      <c r="F784" s="18"/>
      <c r="G784" s="20"/>
      <c r="H784" s="21"/>
      <c r="I784" s="21"/>
      <c r="J784" s="22"/>
      <c r="K784" s="23" t="str">
        <f aca="false">IF(H784*J784=0,"",H784*J784)</f>
        <v/>
      </c>
      <c r="L784" s="24"/>
      <c r="M784" s="24"/>
      <c r="N784" s="23" t="str">
        <f aca="false">IF(L784+M784=0,"",L784+M784)</f>
        <v/>
      </c>
      <c r="O784" s="25" t="str">
        <f aca="false">IF(OR(H784="",I784="",J784=""),"",IF(F784="Long",(I784-H784)*J784*IF(G784="",1,G784),(H784-I784)*J784*IF(G784="",1,G784)))</f>
        <v/>
      </c>
      <c r="P784" s="26" t="str">
        <f aca="false">IF(O784="","",O784-IF(N784="",0,N784))</f>
        <v/>
      </c>
      <c r="Q784" s="27" t="str">
        <f aca="false">IFERROR(IF(P784="","",P784/K784),"")</f>
        <v/>
      </c>
      <c r="R784" s="19"/>
      <c r="S784" s="18"/>
      <c r="T784" s="28"/>
    </row>
    <row r="785" customFormat="false" ht="18" hidden="false" customHeight="true" outlineLevel="0" collapsed="false">
      <c r="A785" s="3" t="str">
        <f aca="false">IF(B785&lt;&gt;"",ROW()-2,"")</f>
        <v/>
      </c>
      <c r="B785" s="4"/>
      <c r="C785" s="4"/>
      <c r="D785" s="5"/>
      <c r="E785" s="6"/>
      <c r="F785" s="5"/>
      <c r="G785" s="7"/>
      <c r="H785" s="8"/>
      <c r="I785" s="8"/>
      <c r="J785" s="9"/>
      <c r="K785" s="10" t="str">
        <f aca="false">IF(H785*J785=0,"",H785*J785)</f>
        <v/>
      </c>
      <c r="L785" s="11"/>
      <c r="M785" s="11"/>
      <c r="N785" s="10" t="str">
        <f aca="false">IF(L785+M785=0,"",L785+M785)</f>
        <v/>
      </c>
      <c r="O785" s="12" t="str">
        <f aca="false">IF(OR(H785="",I785="",J785=""),"",IF(F785="Long",(I785-H785)*J785*IF(G785="",1,G785),(H785-I785)*J785*IF(G785="",1,G785)))</f>
        <v/>
      </c>
      <c r="P785" s="13" t="str">
        <f aca="false">IF(O785="","",O785-IF(N785="",0,N785))</f>
        <v/>
      </c>
      <c r="Q785" s="14" t="str">
        <f aca="false">IFERROR(IF(P785="","",P785/K785),"")</f>
        <v/>
      </c>
      <c r="R785" s="6"/>
      <c r="S785" s="5"/>
      <c r="T785" s="15"/>
    </row>
    <row r="786" customFormat="false" ht="18" hidden="false" customHeight="true" outlineLevel="0" collapsed="false">
      <c r="A786" s="16" t="str">
        <f aca="false">IF(B786&lt;&gt;"",ROW()-2,"")</f>
        <v/>
      </c>
      <c r="B786" s="17"/>
      <c r="C786" s="17"/>
      <c r="D786" s="18"/>
      <c r="E786" s="19"/>
      <c r="F786" s="18"/>
      <c r="G786" s="20"/>
      <c r="H786" s="21"/>
      <c r="I786" s="21"/>
      <c r="J786" s="22"/>
      <c r="K786" s="23" t="str">
        <f aca="false">IF(H786*J786=0,"",H786*J786)</f>
        <v/>
      </c>
      <c r="L786" s="24"/>
      <c r="M786" s="24"/>
      <c r="N786" s="23" t="str">
        <f aca="false">IF(L786+M786=0,"",L786+M786)</f>
        <v/>
      </c>
      <c r="O786" s="25" t="str">
        <f aca="false">IF(OR(H786="",I786="",J786=""),"",IF(F786="Long",(I786-H786)*J786*IF(G786="",1,G786),(H786-I786)*J786*IF(G786="",1,G786)))</f>
        <v/>
      </c>
      <c r="P786" s="26" t="str">
        <f aca="false">IF(O786="","",O786-IF(N786="",0,N786))</f>
        <v/>
      </c>
      <c r="Q786" s="27" t="str">
        <f aca="false">IFERROR(IF(P786="","",P786/K786),"")</f>
        <v/>
      </c>
      <c r="R786" s="19"/>
      <c r="S786" s="18"/>
      <c r="T786" s="28"/>
    </row>
    <row r="787" customFormat="false" ht="18" hidden="false" customHeight="true" outlineLevel="0" collapsed="false">
      <c r="A787" s="3" t="str">
        <f aca="false">IF(B787&lt;&gt;"",ROW()-2,"")</f>
        <v/>
      </c>
      <c r="B787" s="4"/>
      <c r="C787" s="4"/>
      <c r="D787" s="5"/>
      <c r="E787" s="6"/>
      <c r="F787" s="5"/>
      <c r="G787" s="7"/>
      <c r="H787" s="8"/>
      <c r="I787" s="8"/>
      <c r="J787" s="9"/>
      <c r="K787" s="10" t="str">
        <f aca="false">IF(H787*J787=0,"",H787*J787)</f>
        <v/>
      </c>
      <c r="L787" s="11"/>
      <c r="M787" s="11"/>
      <c r="N787" s="10" t="str">
        <f aca="false">IF(L787+M787=0,"",L787+M787)</f>
        <v/>
      </c>
      <c r="O787" s="12" t="str">
        <f aca="false">IF(OR(H787="",I787="",J787=""),"",IF(F787="Long",(I787-H787)*J787*IF(G787="",1,G787),(H787-I787)*J787*IF(G787="",1,G787)))</f>
        <v/>
      </c>
      <c r="P787" s="13" t="str">
        <f aca="false">IF(O787="","",O787-IF(N787="",0,N787))</f>
        <v/>
      </c>
      <c r="Q787" s="14" t="str">
        <f aca="false">IFERROR(IF(P787="","",P787/K787),"")</f>
        <v/>
      </c>
      <c r="R787" s="6"/>
      <c r="S787" s="5"/>
      <c r="T787" s="15"/>
    </row>
    <row r="788" customFormat="false" ht="18" hidden="false" customHeight="true" outlineLevel="0" collapsed="false">
      <c r="A788" s="16" t="str">
        <f aca="false">IF(B788&lt;&gt;"",ROW()-2,"")</f>
        <v/>
      </c>
      <c r="B788" s="17"/>
      <c r="C788" s="17"/>
      <c r="D788" s="18"/>
      <c r="E788" s="19"/>
      <c r="F788" s="18"/>
      <c r="G788" s="20"/>
      <c r="H788" s="21"/>
      <c r="I788" s="21"/>
      <c r="J788" s="22"/>
      <c r="K788" s="23" t="str">
        <f aca="false">IF(H788*J788=0,"",H788*J788)</f>
        <v/>
      </c>
      <c r="L788" s="24"/>
      <c r="M788" s="24"/>
      <c r="N788" s="23" t="str">
        <f aca="false">IF(L788+M788=0,"",L788+M788)</f>
        <v/>
      </c>
      <c r="O788" s="25" t="str">
        <f aca="false">IF(OR(H788="",I788="",J788=""),"",IF(F788="Long",(I788-H788)*J788*IF(G788="",1,G788),(H788-I788)*J788*IF(G788="",1,G788)))</f>
        <v/>
      </c>
      <c r="P788" s="26" t="str">
        <f aca="false">IF(O788="","",O788-IF(N788="",0,N788))</f>
        <v/>
      </c>
      <c r="Q788" s="27" t="str">
        <f aca="false">IFERROR(IF(P788="","",P788/K788),"")</f>
        <v/>
      </c>
      <c r="R788" s="19"/>
      <c r="S788" s="18"/>
      <c r="T788" s="28"/>
    </row>
    <row r="789" customFormat="false" ht="18" hidden="false" customHeight="true" outlineLevel="0" collapsed="false">
      <c r="A789" s="3" t="str">
        <f aca="false">IF(B789&lt;&gt;"",ROW()-2,"")</f>
        <v/>
      </c>
      <c r="B789" s="4"/>
      <c r="C789" s="4"/>
      <c r="D789" s="5"/>
      <c r="E789" s="6"/>
      <c r="F789" s="5"/>
      <c r="G789" s="7"/>
      <c r="H789" s="8"/>
      <c r="I789" s="8"/>
      <c r="J789" s="9"/>
      <c r="K789" s="10" t="str">
        <f aca="false">IF(H789*J789=0,"",H789*J789)</f>
        <v/>
      </c>
      <c r="L789" s="11"/>
      <c r="M789" s="11"/>
      <c r="N789" s="10" t="str">
        <f aca="false">IF(L789+M789=0,"",L789+M789)</f>
        <v/>
      </c>
      <c r="O789" s="12" t="str">
        <f aca="false">IF(OR(H789="",I789="",J789=""),"",IF(F789="Long",(I789-H789)*J789*IF(G789="",1,G789),(H789-I789)*J789*IF(G789="",1,G789)))</f>
        <v/>
      </c>
      <c r="P789" s="13" t="str">
        <f aca="false">IF(O789="","",O789-IF(N789="",0,N789))</f>
        <v/>
      </c>
      <c r="Q789" s="14" t="str">
        <f aca="false">IFERROR(IF(P789="","",P789/K789),"")</f>
        <v/>
      </c>
      <c r="R789" s="6"/>
      <c r="S789" s="5"/>
      <c r="T789" s="15"/>
    </row>
    <row r="790" customFormat="false" ht="18" hidden="false" customHeight="true" outlineLevel="0" collapsed="false">
      <c r="A790" s="16" t="str">
        <f aca="false">IF(B790&lt;&gt;"",ROW()-2,"")</f>
        <v/>
      </c>
      <c r="B790" s="17"/>
      <c r="C790" s="17"/>
      <c r="D790" s="18"/>
      <c r="E790" s="19"/>
      <c r="F790" s="18"/>
      <c r="G790" s="20"/>
      <c r="H790" s="21"/>
      <c r="I790" s="21"/>
      <c r="J790" s="22"/>
      <c r="K790" s="23" t="str">
        <f aca="false">IF(H790*J790=0,"",H790*J790)</f>
        <v/>
      </c>
      <c r="L790" s="24"/>
      <c r="M790" s="24"/>
      <c r="N790" s="23" t="str">
        <f aca="false">IF(L790+M790=0,"",L790+M790)</f>
        <v/>
      </c>
      <c r="O790" s="25" t="str">
        <f aca="false">IF(OR(H790="",I790="",J790=""),"",IF(F790="Long",(I790-H790)*J790*IF(G790="",1,G790),(H790-I790)*J790*IF(G790="",1,G790)))</f>
        <v/>
      </c>
      <c r="P790" s="26" t="str">
        <f aca="false">IF(O790="","",O790-IF(N790="",0,N790))</f>
        <v/>
      </c>
      <c r="Q790" s="27" t="str">
        <f aca="false">IFERROR(IF(P790="","",P790/K790),"")</f>
        <v/>
      </c>
      <c r="R790" s="19"/>
      <c r="S790" s="18"/>
      <c r="T790" s="28"/>
    </row>
    <row r="791" customFormat="false" ht="18" hidden="false" customHeight="true" outlineLevel="0" collapsed="false">
      <c r="A791" s="3" t="str">
        <f aca="false">IF(B791&lt;&gt;"",ROW()-2,"")</f>
        <v/>
      </c>
      <c r="B791" s="4"/>
      <c r="C791" s="4"/>
      <c r="D791" s="5"/>
      <c r="E791" s="6"/>
      <c r="F791" s="5"/>
      <c r="G791" s="7"/>
      <c r="H791" s="8"/>
      <c r="I791" s="8"/>
      <c r="J791" s="9"/>
      <c r="K791" s="10" t="str">
        <f aca="false">IF(H791*J791=0,"",H791*J791)</f>
        <v/>
      </c>
      <c r="L791" s="11"/>
      <c r="M791" s="11"/>
      <c r="N791" s="10" t="str">
        <f aca="false">IF(L791+M791=0,"",L791+M791)</f>
        <v/>
      </c>
      <c r="O791" s="12" t="str">
        <f aca="false">IF(OR(H791="",I791="",J791=""),"",IF(F791="Long",(I791-H791)*J791*IF(G791="",1,G791),(H791-I791)*J791*IF(G791="",1,G791)))</f>
        <v/>
      </c>
      <c r="P791" s="13" t="str">
        <f aca="false">IF(O791="","",O791-IF(N791="",0,N791))</f>
        <v/>
      </c>
      <c r="Q791" s="14" t="str">
        <f aca="false">IFERROR(IF(P791="","",P791/K791),"")</f>
        <v/>
      </c>
      <c r="R791" s="6"/>
      <c r="S791" s="5"/>
      <c r="T791" s="15"/>
    </row>
    <row r="792" customFormat="false" ht="18" hidden="false" customHeight="true" outlineLevel="0" collapsed="false">
      <c r="A792" s="16" t="str">
        <f aca="false">IF(B792&lt;&gt;"",ROW()-2,"")</f>
        <v/>
      </c>
      <c r="B792" s="17"/>
      <c r="C792" s="17"/>
      <c r="D792" s="18"/>
      <c r="E792" s="19"/>
      <c r="F792" s="18"/>
      <c r="G792" s="20"/>
      <c r="H792" s="21"/>
      <c r="I792" s="21"/>
      <c r="J792" s="22"/>
      <c r="K792" s="23" t="str">
        <f aca="false">IF(H792*J792=0,"",H792*J792)</f>
        <v/>
      </c>
      <c r="L792" s="24"/>
      <c r="M792" s="24"/>
      <c r="N792" s="23" t="str">
        <f aca="false">IF(L792+M792=0,"",L792+M792)</f>
        <v/>
      </c>
      <c r="O792" s="25" t="str">
        <f aca="false">IF(OR(H792="",I792="",J792=""),"",IF(F792="Long",(I792-H792)*J792*IF(G792="",1,G792),(H792-I792)*J792*IF(G792="",1,G792)))</f>
        <v/>
      </c>
      <c r="P792" s="26" t="str">
        <f aca="false">IF(O792="","",O792-IF(N792="",0,N792))</f>
        <v/>
      </c>
      <c r="Q792" s="27" t="str">
        <f aca="false">IFERROR(IF(P792="","",P792/K792),"")</f>
        <v/>
      </c>
      <c r="R792" s="19"/>
      <c r="S792" s="18"/>
      <c r="T792" s="28"/>
    </row>
    <row r="793" customFormat="false" ht="18" hidden="false" customHeight="true" outlineLevel="0" collapsed="false">
      <c r="A793" s="3" t="str">
        <f aca="false">IF(B793&lt;&gt;"",ROW()-2,"")</f>
        <v/>
      </c>
      <c r="B793" s="4"/>
      <c r="C793" s="4"/>
      <c r="D793" s="5"/>
      <c r="E793" s="6"/>
      <c r="F793" s="5"/>
      <c r="G793" s="7"/>
      <c r="H793" s="8"/>
      <c r="I793" s="8"/>
      <c r="J793" s="9"/>
      <c r="K793" s="10" t="str">
        <f aca="false">IF(H793*J793=0,"",H793*J793)</f>
        <v/>
      </c>
      <c r="L793" s="11"/>
      <c r="M793" s="11"/>
      <c r="N793" s="10" t="str">
        <f aca="false">IF(L793+M793=0,"",L793+M793)</f>
        <v/>
      </c>
      <c r="O793" s="12" t="str">
        <f aca="false">IF(OR(H793="",I793="",J793=""),"",IF(F793="Long",(I793-H793)*J793*IF(G793="",1,G793),(H793-I793)*J793*IF(G793="",1,G793)))</f>
        <v/>
      </c>
      <c r="P793" s="13" t="str">
        <f aca="false">IF(O793="","",O793-IF(N793="",0,N793))</f>
        <v/>
      </c>
      <c r="Q793" s="14" t="str">
        <f aca="false">IFERROR(IF(P793="","",P793/K793),"")</f>
        <v/>
      </c>
      <c r="R793" s="6"/>
      <c r="S793" s="5"/>
      <c r="T793" s="15"/>
    </row>
    <row r="794" customFormat="false" ht="18" hidden="false" customHeight="true" outlineLevel="0" collapsed="false">
      <c r="A794" s="16" t="str">
        <f aca="false">IF(B794&lt;&gt;"",ROW()-2,"")</f>
        <v/>
      </c>
      <c r="B794" s="17"/>
      <c r="C794" s="17"/>
      <c r="D794" s="18"/>
      <c r="E794" s="19"/>
      <c r="F794" s="18"/>
      <c r="G794" s="20"/>
      <c r="H794" s="21"/>
      <c r="I794" s="21"/>
      <c r="J794" s="22"/>
      <c r="K794" s="23" t="str">
        <f aca="false">IF(H794*J794=0,"",H794*J794)</f>
        <v/>
      </c>
      <c r="L794" s="24"/>
      <c r="M794" s="24"/>
      <c r="N794" s="23" t="str">
        <f aca="false">IF(L794+M794=0,"",L794+M794)</f>
        <v/>
      </c>
      <c r="O794" s="25" t="str">
        <f aca="false">IF(OR(H794="",I794="",J794=""),"",IF(F794="Long",(I794-H794)*J794*IF(G794="",1,G794),(H794-I794)*J794*IF(G794="",1,G794)))</f>
        <v/>
      </c>
      <c r="P794" s="26" t="str">
        <f aca="false">IF(O794="","",O794-IF(N794="",0,N794))</f>
        <v/>
      </c>
      <c r="Q794" s="27" t="str">
        <f aca="false">IFERROR(IF(P794="","",P794/K794),"")</f>
        <v/>
      </c>
      <c r="R794" s="19"/>
      <c r="S794" s="18"/>
      <c r="T794" s="28"/>
    </row>
    <row r="795" customFormat="false" ht="18" hidden="false" customHeight="true" outlineLevel="0" collapsed="false">
      <c r="A795" s="3" t="str">
        <f aca="false">IF(B795&lt;&gt;"",ROW()-2,"")</f>
        <v/>
      </c>
      <c r="B795" s="4"/>
      <c r="C795" s="4"/>
      <c r="D795" s="5"/>
      <c r="E795" s="6"/>
      <c r="F795" s="5"/>
      <c r="G795" s="7"/>
      <c r="H795" s="8"/>
      <c r="I795" s="8"/>
      <c r="J795" s="9"/>
      <c r="K795" s="10" t="str">
        <f aca="false">IF(H795*J795=0,"",H795*J795)</f>
        <v/>
      </c>
      <c r="L795" s="11"/>
      <c r="M795" s="11"/>
      <c r="N795" s="10" t="str">
        <f aca="false">IF(L795+M795=0,"",L795+M795)</f>
        <v/>
      </c>
      <c r="O795" s="12" t="str">
        <f aca="false">IF(OR(H795="",I795="",J795=""),"",IF(F795="Long",(I795-H795)*J795*IF(G795="",1,G795),(H795-I795)*J795*IF(G795="",1,G795)))</f>
        <v/>
      </c>
      <c r="P795" s="13" t="str">
        <f aca="false">IF(O795="","",O795-IF(N795="",0,N795))</f>
        <v/>
      </c>
      <c r="Q795" s="14" t="str">
        <f aca="false">IFERROR(IF(P795="","",P795/K795),"")</f>
        <v/>
      </c>
      <c r="R795" s="6"/>
      <c r="S795" s="5"/>
      <c r="T795" s="15"/>
    </row>
    <row r="796" customFormat="false" ht="18" hidden="false" customHeight="true" outlineLevel="0" collapsed="false">
      <c r="A796" s="16" t="str">
        <f aca="false">IF(B796&lt;&gt;"",ROW()-2,"")</f>
        <v/>
      </c>
      <c r="B796" s="17"/>
      <c r="C796" s="17"/>
      <c r="D796" s="18"/>
      <c r="E796" s="19"/>
      <c r="F796" s="18"/>
      <c r="G796" s="20"/>
      <c r="H796" s="21"/>
      <c r="I796" s="21"/>
      <c r="J796" s="22"/>
      <c r="K796" s="23" t="str">
        <f aca="false">IF(H796*J796=0,"",H796*J796)</f>
        <v/>
      </c>
      <c r="L796" s="24"/>
      <c r="M796" s="24"/>
      <c r="N796" s="23" t="str">
        <f aca="false">IF(L796+M796=0,"",L796+M796)</f>
        <v/>
      </c>
      <c r="O796" s="25" t="str">
        <f aca="false">IF(OR(H796="",I796="",J796=""),"",IF(F796="Long",(I796-H796)*J796*IF(G796="",1,G796),(H796-I796)*J796*IF(G796="",1,G796)))</f>
        <v/>
      </c>
      <c r="P796" s="26" t="str">
        <f aca="false">IF(O796="","",O796-IF(N796="",0,N796))</f>
        <v/>
      </c>
      <c r="Q796" s="27" t="str">
        <f aca="false">IFERROR(IF(P796="","",P796/K796),"")</f>
        <v/>
      </c>
      <c r="R796" s="19"/>
      <c r="S796" s="18"/>
      <c r="T796" s="28"/>
    </row>
    <row r="797" customFormat="false" ht="18" hidden="false" customHeight="true" outlineLevel="0" collapsed="false">
      <c r="A797" s="3" t="str">
        <f aca="false">IF(B797&lt;&gt;"",ROW()-2,"")</f>
        <v/>
      </c>
      <c r="B797" s="4"/>
      <c r="C797" s="4"/>
      <c r="D797" s="5"/>
      <c r="E797" s="6"/>
      <c r="F797" s="5"/>
      <c r="G797" s="7"/>
      <c r="H797" s="8"/>
      <c r="I797" s="8"/>
      <c r="J797" s="9"/>
      <c r="K797" s="10" t="str">
        <f aca="false">IF(H797*J797=0,"",H797*J797)</f>
        <v/>
      </c>
      <c r="L797" s="11"/>
      <c r="M797" s="11"/>
      <c r="N797" s="10" t="str">
        <f aca="false">IF(L797+M797=0,"",L797+M797)</f>
        <v/>
      </c>
      <c r="O797" s="12" t="str">
        <f aca="false">IF(OR(H797="",I797="",J797=""),"",IF(F797="Long",(I797-H797)*J797*IF(G797="",1,G797),(H797-I797)*J797*IF(G797="",1,G797)))</f>
        <v/>
      </c>
      <c r="P797" s="13" t="str">
        <f aca="false">IF(O797="","",O797-IF(N797="",0,N797))</f>
        <v/>
      </c>
      <c r="Q797" s="14" t="str">
        <f aca="false">IFERROR(IF(P797="","",P797/K797),"")</f>
        <v/>
      </c>
      <c r="R797" s="6"/>
      <c r="S797" s="5"/>
      <c r="T797" s="15"/>
    </row>
    <row r="798" customFormat="false" ht="18" hidden="false" customHeight="true" outlineLevel="0" collapsed="false">
      <c r="A798" s="16" t="str">
        <f aca="false">IF(B798&lt;&gt;"",ROW()-2,"")</f>
        <v/>
      </c>
      <c r="B798" s="17"/>
      <c r="C798" s="17"/>
      <c r="D798" s="18"/>
      <c r="E798" s="19"/>
      <c r="F798" s="18"/>
      <c r="G798" s="20"/>
      <c r="H798" s="21"/>
      <c r="I798" s="21"/>
      <c r="J798" s="22"/>
      <c r="K798" s="23" t="str">
        <f aca="false">IF(H798*J798=0,"",H798*J798)</f>
        <v/>
      </c>
      <c r="L798" s="24"/>
      <c r="M798" s="24"/>
      <c r="N798" s="23" t="str">
        <f aca="false">IF(L798+M798=0,"",L798+M798)</f>
        <v/>
      </c>
      <c r="O798" s="25" t="str">
        <f aca="false">IF(OR(H798="",I798="",J798=""),"",IF(F798="Long",(I798-H798)*J798*IF(G798="",1,G798),(H798-I798)*J798*IF(G798="",1,G798)))</f>
        <v/>
      </c>
      <c r="P798" s="26" t="str">
        <f aca="false">IF(O798="","",O798-IF(N798="",0,N798))</f>
        <v/>
      </c>
      <c r="Q798" s="27" t="str">
        <f aca="false">IFERROR(IF(P798="","",P798/K798),"")</f>
        <v/>
      </c>
      <c r="R798" s="19"/>
      <c r="S798" s="18"/>
      <c r="T798" s="28"/>
    </row>
    <row r="799" customFormat="false" ht="18" hidden="false" customHeight="true" outlineLevel="0" collapsed="false">
      <c r="A799" s="3" t="str">
        <f aca="false">IF(B799&lt;&gt;"",ROW()-2,"")</f>
        <v/>
      </c>
      <c r="B799" s="4"/>
      <c r="C799" s="4"/>
      <c r="D799" s="5"/>
      <c r="E799" s="6"/>
      <c r="F799" s="5"/>
      <c r="G799" s="7"/>
      <c r="H799" s="8"/>
      <c r="I799" s="8"/>
      <c r="J799" s="9"/>
      <c r="K799" s="10" t="str">
        <f aca="false">IF(H799*J799=0,"",H799*J799)</f>
        <v/>
      </c>
      <c r="L799" s="11"/>
      <c r="M799" s="11"/>
      <c r="N799" s="10" t="str">
        <f aca="false">IF(L799+M799=0,"",L799+M799)</f>
        <v/>
      </c>
      <c r="O799" s="12" t="str">
        <f aca="false">IF(OR(H799="",I799="",J799=""),"",IF(F799="Long",(I799-H799)*J799*IF(G799="",1,G799),(H799-I799)*J799*IF(G799="",1,G799)))</f>
        <v/>
      </c>
      <c r="P799" s="13" t="str">
        <f aca="false">IF(O799="","",O799-IF(N799="",0,N799))</f>
        <v/>
      </c>
      <c r="Q799" s="14" t="str">
        <f aca="false">IFERROR(IF(P799="","",P799/K799),"")</f>
        <v/>
      </c>
      <c r="R799" s="6"/>
      <c r="S799" s="5"/>
      <c r="T799" s="15"/>
    </row>
    <row r="800" customFormat="false" ht="18" hidden="false" customHeight="true" outlineLevel="0" collapsed="false">
      <c r="A800" s="16" t="str">
        <f aca="false">IF(B800&lt;&gt;"",ROW()-2,"")</f>
        <v/>
      </c>
      <c r="B800" s="17"/>
      <c r="C800" s="17"/>
      <c r="D800" s="18"/>
      <c r="E800" s="19"/>
      <c r="F800" s="18"/>
      <c r="G800" s="20"/>
      <c r="H800" s="21"/>
      <c r="I800" s="21"/>
      <c r="J800" s="22"/>
      <c r="K800" s="23" t="str">
        <f aca="false">IF(H800*J800=0,"",H800*J800)</f>
        <v/>
      </c>
      <c r="L800" s="24"/>
      <c r="M800" s="24"/>
      <c r="N800" s="23" t="str">
        <f aca="false">IF(L800+M800=0,"",L800+M800)</f>
        <v/>
      </c>
      <c r="O800" s="25" t="str">
        <f aca="false">IF(OR(H800="",I800="",J800=""),"",IF(F800="Long",(I800-H800)*J800*IF(G800="",1,G800),(H800-I800)*J800*IF(G800="",1,G800)))</f>
        <v/>
      </c>
      <c r="P800" s="26" t="str">
        <f aca="false">IF(O800="","",O800-IF(N800="",0,N800))</f>
        <v/>
      </c>
      <c r="Q800" s="27" t="str">
        <f aca="false">IFERROR(IF(P800="","",P800/K800),"")</f>
        <v/>
      </c>
      <c r="R800" s="19"/>
      <c r="S800" s="18"/>
      <c r="T800" s="28"/>
    </row>
    <row r="801" customFormat="false" ht="18" hidden="false" customHeight="true" outlineLevel="0" collapsed="false">
      <c r="A801" s="3" t="str">
        <f aca="false">IF(B801&lt;&gt;"",ROW()-2,"")</f>
        <v/>
      </c>
      <c r="B801" s="4"/>
      <c r="C801" s="4"/>
      <c r="D801" s="5"/>
      <c r="E801" s="6"/>
      <c r="F801" s="5"/>
      <c r="G801" s="7"/>
      <c r="H801" s="8"/>
      <c r="I801" s="8"/>
      <c r="J801" s="9"/>
      <c r="K801" s="10" t="str">
        <f aca="false">IF(H801*J801=0,"",H801*J801)</f>
        <v/>
      </c>
      <c r="L801" s="11"/>
      <c r="M801" s="11"/>
      <c r="N801" s="10" t="str">
        <f aca="false">IF(L801+M801=0,"",L801+M801)</f>
        <v/>
      </c>
      <c r="O801" s="12" t="str">
        <f aca="false">IF(OR(H801="",I801="",J801=""),"",IF(F801="Long",(I801-H801)*J801*IF(G801="",1,G801),(H801-I801)*J801*IF(G801="",1,G801)))</f>
        <v/>
      </c>
      <c r="P801" s="13" t="str">
        <f aca="false">IF(O801="","",O801-IF(N801="",0,N801))</f>
        <v/>
      </c>
      <c r="Q801" s="14" t="str">
        <f aca="false">IFERROR(IF(P801="","",P801/K801),"")</f>
        <v/>
      </c>
      <c r="R801" s="6"/>
      <c r="S801" s="5"/>
      <c r="T801" s="15"/>
    </row>
    <row r="802" customFormat="false" ht="18" hidden="false" customHeight="true" outlineLevel="0" collapsed="false">
      <c r="A802" s="16" t="str">
        <f aca="false">IF(B802&lt;&gt;"",ROW()-2,"")</f>
        <v/>
      </c>
      <c r="B802" s="17"/>
      <c r="C802" s="17"/>
      <c r="D802" s="18"/>
      <c r="E802" s="19"/>
      <c r="F802" s="18"/>
      <c r="G802" s="20"/>
      <c r="H802" s="21"/>
      <c r="I802" s="21"/>
      <c r="J802" s="22"/>
      <c r="K802" s="23" t="str">
        <f aca="false">IF(H802*J802=0,"",H802*J802)</f>
        <v/>
      </c>
      <c r="L802" s="24"/>
      <c r="M802" s="24"/>
      <c r="N802" s="23" t="str">
        <f aca="false">IF(L802+M802=0,"",L802+M802)</f>
        <v/>
      </c>
      <c r="O802" s="25" t="str">
        <f aca="false">IF(OR(H802="",I802="",J802=""),"",IF(F802="Long",(I802-H802)*J802*IF(G802="",1,G802),(H802-I802)*J802*IF(G802="",1,G802)))</f>
        <v/>
      </c>
      <c r="P802" s="26" t="str">
        <f aca="false">IF(O802="","",O802-IF(N802="",0,N802))</f>
        <v/>
      </c>
      <c r="Q802" s="27" t="str">
        <f aca="false">IFERROR(IF(P802="","",P802/K802),"")</f>
        <v/>
      </c>
      <c r="R802" s="19"/>
      <c r="S802" s="18"/>
      <c r="T802" s="28"/>
    </row>
    <row r="803" customFormat="false" ht="18" hidden="false" customHeight="true" outlineLevel="0" collapsed="false">
      <c r="A803" s="3" t="str">
        <f aca="false">IF(B803&lt;&gt;"",ROW()-2,"")</f>
        <v/>
      </c>
      <c r="B803" s="4"/>
      <c r="C803" s="4"/>
      <c r="D803" s="5"/>
      <c r="E803" s="6"/>
      <c r="F803" s="5"/>
      <c r="G803" s="7"/>
      <c r="H803" s="8"/>
      <c r="I803" s="8"/>
      <c r="J803" s="9"/>
      <c r="K803" s="10" t="str">
        <f aca="false">IF(H803*J803=0,"",H803*J803)</f>
        <v/>
      </c>
      <c r="L803" s="11"/>
      <c r="M803" s="11"/>
      <c r="N803" s="10" t="str">
        <f aca="false">IF(L803+M803=0,"",L803+M803)</f>
        <v/>
      </c>
      <c r="O803" s="12" t="str">
        <f aca="false">IF(OR(H803="",I803="",J803=""),"",IF(F803="Long",(I803-H803)*J803*IF(G803="",1,G803),(H803-I803)*J803*IF(G803="",1,G803)))</f>
        <v/>
      </c>
      <c r="P803" s="13" t="str">
        <f aca="false">IF(O803="","",O803-IF(N803="",0,N803))</f>
        <v/>
      </c>
      <c r="Q803" s="14" t="str">
        <f aca="false">IFERROR(IF(P803="","",P803/K803),"")</f>
        <v/>
      </c>
      <c r="R803" s="6"/>
      <c r="S803" s="5"/>
      <c r="T803" s="15"/>
    </row>
    <row r="804" customFormat="false" ht="18" hidden="false" customHeight="true" outlineLevel="0" collapsed="false">
      <c r="A804" s="16" t="str">
        <f aca="false">IF(B804&lt;&gt;"",ROW()-2,"")</f>
        <v/>
      </c>
      <c r="B804" s="17"/>
      <c r="C804" s="17"/>
      <c r="D804" s="18"/>
      <c r="E804" s="19"/>
      <c r="F804" s="18"/>
      <c r="G804" s="20"/>
      <c r="H804" s="21"/>
      <c r="I804" s="21"/>
      <c r="J804" s="22"/>
      <c r="K804" s="23" t="str">
        <f aca="false">IF(H804*J804=0,"",H804*J804)</f>
        <v/>
      </c>
      <c r="L804" s="24"/>
      <c r="M804" s="24"/>
      <c r="N804" s="23" t="str">
        <f aca="false">IF(L804+M804=0,"",L804+M804)</f>
        <v/>
      </c>
      <c r="O804" s="25" t="str">
        <f aca="false">IF(OR(H804="",I804="",J804=""),"",IF(F804="Long",(I804-H804)*J804*IF(G804="",1,G804),(H804-I804)*J804*IF(G804="",1,G804)))</f>
        <v/>
      </c>
      <c r="P804" s="26" t="str">
        <f aca="false">IF(O804="","",O804-IF(N804="",0,N804))</f>
        <v/>
      </c>
      <c r="Q804" s="27" t="str">
        <f aca="false">IFERROR(IF(P804="","",P804/K804),"")</f>
        <v/>
      </c>
      <c r="R804" s="19"/>
      <c r="S804" s="18"/>
      <c r="T804" s="28"/>
    </row>
    <row r="805" customFormat="false" ht="18" hidden="false" customHeight="true" outlineLevel="0" collapsed="false">
      <c r="A805" s="3" t="str">
        <f aca="false">IF(B805&lt;&gt;"",ROW()-2,"")</f>
        <v/>
      </c>
      <c r="B805" s="4"/>
      <c r="C805" s="4"/>
      <c r="D805" s="5"/>
      <c r="E805" s="6"/>
      <c r="F805" s="5"/>
      <c r="G805" s="7"/>
      <c r="H805" s="8"/>
      <c r="I805" s="8"/>
      <c r="J805" s="9"/>
      <c r="K805" s="10" t="str">
        <f aca="false">IF(H805*J805=0,"",H805*J805)</f>
        <v/>
      </c>
      <c r="L805" s="11"/>
      <c r="M805" s="11"/>
      <c r="N805" s="10" t="str">
        <f aca="false">IF(L805+M805=0,"",L805+M805)</f>
        <v/>
      </c>
      <c r="O805" s="12" t="str">
        <f aca="false">IF(OR(H805="",I805="",J805=""),"",IF(F805="Long",(I805-H805)*J805*IF(G805="",1,G805),(H805-I805)*J805*IF(G805="",1,G805)))</f>
        <v/>
      </c>
      <c r="P805" s="13" t="str">
        <f aca="false">IF(O805="","",O805-IF(N805="",0,N805))</f>
        <v/>
      </c>
      <c r="Q805" s="14" t="str">
        <f aca="false">IFERROR(IF(P805="","",P805/K805),"")</f>
        <v/>
      </c>
      <c r="R805" s="6"/>
      <c r="S805" s="5"/>
      <c r="T805" s="15"/>
    </row>
    <row r="806" customFormat="false" ht="18" hidden="false" customHeight="true" outlineLevel="0" collapsed="false">
      <c r="A806" s="16" t="str">
        <f aca="false">IF(B806&lt;&gt;"",ROW()-2,"")</f>
        <v/>
      </c>
      <c r="B806" s="17"/>
      <c r="C806" s="17"/>
      <c r="D806" s="18"/>
      <c r="E806" s="19"/>
      <c r="F806" s="18"/>
      <c r="G806" s="20"/>
      <c r="H806" s="21"/>
      <c r="I806" s="21"/>
      <c r="J806" s="22"/>
      <c r="K806" s="23" t="str">
        <f aca="false">IF(H806*J806=0,"",H806*J806)</f>
        <v/>
      </c>
      <c r="L806" s="24"/>
      <c r="M806" s="24"/>
      <c r="N806" s="23" t="str">
        <f aca="false">IF(L806+M806=0,"",L806+M806)</f>
        <v/>
      </c>
      <c r="O806" s="25" t="str">
        <f aca="false">IF(OR(H806="",I806="",J806=""),"",IF(F806="Long",(I806-H806)*J806*IF(G806="",1,G806),(H806-I806)*J806*IF(G806="",1,G806)))</f>
        <v/>
      </c>
      <c r="P806" s="26" t="str">
        <f aca="false">IF(O806="","",O806-IF(N806="",0,N806))</f>
        <v/>
      </c>
      <c r="Q806" s="27" t="str">
        <f aca="false">IFERROR(IF(P806="","",P806/K806),"")</f>
        <v/>
      </c>
      <c r="R806" s="19"/>
      <c r="S806" s="18"/>
      <c r="T806" s="28"/>
    </row>
    <row r="807" customFormat="false" ht="18" hidden="false" customHeight="true" outlineLevel="0" collapsed="false">
      <c r="A807" s="3" t="str">
        <f aca="false">IF(B807&lt;&gt;"",ROW()-2,"")</f>
        <v/>
      </c>
      <c r="B807" s="4"/>
      <c r="C807" s="4"/>
      <c r="D807" s="5"/>
      <c r="E807" s="6"/>
      <c r="F807" s="5"/>
      <c r="G807" s="7"/>
      <c r="H807" s="8"/>
      <c r="I807" s="8"/>
      <c r="J807" s="9"/>
      <c r="K807" s="10" t="str">
        <f aca="false">IF(H807*J807=0,"",H807*J807)</f>
        <v/>
      </c>
      <c r="L807" s="11"/>
      <c r="M807" s="11"/>
      <c r="N807" s="10" t="str">
        <f aca="false">IF(L807+M807=0,"",L807+M807)</f>
        <v/>
      </c>
      <c r="O807" s="12" t="str">
        <f aca="false">IF(OR(H807="",I807="",J807=""),"",IF(F807="Long",(I807-H807)*J807*IF(G807="",1,G807),(H807-I807)*J807*IF(G807="",1,G807)))</f>
        <v/>
      </c>
      <c r="P807" s="13" t="str">
        <f aca="false">IF(O807="","",O807-IF(N807="",0,N807))</f>
        <v/>
      </c>
      <c r="Q807" s="14" t="str">
        <f aca="false">IFERROR(IF(P807="","",P807/K807),"")</f>
        <v/>
      </c>
      <c r="R807" s="6"/>
      <c r="S807" s="5"/>
      <c r="T807" s="15"/>
    </row>
    <row r="808" customFormat="false" ht="18" hidden="false" customHeight="true" outlineLevel="0" collapsed="false">
      <c r="A808" s="16" t="str">
        <f aca="false">IF(B808&lt;&gt;"",ROW()-2,"")</f>
        <v/>
      </c>
      <c r="B808" s="17"/>
      <c r="C808" s="17"/>
      <c r="D808" s="18"/>
      <c r="E808" s="19"/>
      <c r="F808" s="18"/>
      <c r="G808" s="20"/>
      <c r="H808" s="21"/>
      <c r="I808" s="21"/>
      <c r="J808" s="22"/>
      <c r="K808" s="23" t="str">
        <f aca="false">IF(H808*J808=0,"",H808*J808)</f>
        <v/>
      </c>
      <c r="L808" s="24"/>
      <c r="M808" s="24"/>
      <c r="N808" s="23" t="str">
        <f aca="false">IF(L808+M808=0,"",L808+M808)</f>
        <v/>
      </c>
      <c r="O808" s="25" t="str">
        <f aca="false">IF(OR(H808="",I808="",J808=""),"",IF(F808="Long",(I808-H808)*J808*IF(G808="",1,G808),(H808-I808)*J808*IF(G808="",1,G808)))</f>
        <v/>
      </c>
      <c r="P808" s="26" t="str">
        <f aca="false">IF(O808="","",O808-IF(N808="",0,N808))</f>
        <v/>
      </c>
      <c r="Q808" s="27" t="str">
        <f aca="false">IFERROR(IF(P808="","",P808/K808),"")</f>
        <v/>
      </c>
      <c r="R808" s="19"/>
      <c r="S808" s="18"/>
      <c r="T808" s="28"/>
    </row>
    <row r="809" customFormat="false" ht="18" hidden="false" customHeight="true" outlineLevel="0" collapsed="false">
      <c r="A809" s="3" t="str">
        <f aca="false">IF(B809&lt;&gt;"",ROW()-2,"")</f>
        <v/>
      </c>
      <c r="B809" s="4"/>
      <c r="C809" s="4"/>
      <c r="D809" s="5"/>
      <c r="E809" s="6"/>
      <c r="F809" s="5"/>
      <c r="G809" s="7"/>
      <c r="H809" s="8"/>
      <c r="I809" s="8"/>
      <c r="J809" s="9"/>
      <c r="K809" s="10" t="str">
        <f aca="false">IF(H809*J809=0,"",H809*J809)</f>
        <v/>
      </c>
      <c r="L809" s="11"/>
      <c r="M809" s="11"/>
      <c r="N809" s="10" t="str">
        <f aca="false">IF(L809+M809=0,"",L809+M809)</f>
        <v/>
      </c>
      <c r="O809" s="12" t="str">
        <f aca="false">IF(OR(H809="",I809="",J809=""),"",IF(F809="Long",(I809-H809)*J809*IF(G809="",1,G809),(H809-I809)*J809*IF(G809="",1,G809)))</f>
        <v/>
      </c>
      <c r="P809" s="13" t="str">
        <f aca="false">IF(O809="","",O809-IF(N809="",0,N809))</f>
        <v/>
      </c>
      <c r="Q809" s="14" t="str">
        <f aca="false">IFERROR(IF(P809="","",P809/K809),"")</f>
        <v/>
      </c>
      <c r="R809" s="6"/>
      <c r="S809" s="5"/>
      <c r="T809" s="15"/>
    </row>
    <row r="810" customFormat="false" ht="18" hidden="false" customHeight="true" outlineLevel="0" collapsed="false">
      <c r="A810" s="16" t="str">
        <f aca="false">IF(B810&lt;&gt;"",ROW()-2,"")</f>
        <v/>
      </c>
      <c r="B810" s="17"/>
      <c r="C810" s="17"/>
      <c r="D810" s="18"/>
      <c r="E810" s="19"/>
      <c r="F810" s="18"/>
      <c r="G810" s="20"/>
      <c r="H810" s="21"/>
      <c r="I810" s="21"/>
      <c r="J810" s="22"/>
      <c r="K810" s="23" t="str">
        <f aca="false">IF(H810*J810=0,"",H810*J810)</f>
        <v/>
      </c>
      <c r="L810" s="24"/>
      <c r="M810" s="24"/>
      <c r="N810" s="23" t="str">
        <f aca="false">IF(L810+M810=0,"",L810+M810)</f>
        <v/>
      </c>
      <c r="O810" s="25" t="str">
        <f aca="false">IF(OR(H810="",I810="",J810=""),"",IF(F810="Long",(I810-H810)*J810*IF(G810="",1,G810),(H810-I810)*J810*IF(G810="",1,G810)))</f>
        <v/>
      </c>
      <c r="P810" s="26" t="str">
        <f aca="false">IF(O810="","",O810-IF(N810="",0,N810))</f>
        <v/>
      </c>
      <c r="Q810" s="27" t="str">
        <f aca="false">IFERROR(IF(P810="","",P810/K810),"")</f>
        <v/>
      </c>
      <c r="R810" s="19"/>
      <c r="S810" s="18"/>
      <c r="T810" s="28"/>
    </row>
    <row r="811" customFormat="false" ht="18" hidden="false" customHeight="true" outlineLevel="0" collapsed="false">
      <c r="A811" s="3" t="str">
        <f aca="false">IF(B811&lt;&gt;"",ROW()-2,"")</f>
        <v/>
      </c>
      <c r="B811" s="4"/>
      <c r="C811" s="4"/>
      <c r="D811" s="5"/>
      <c r="E811" s="6"/>
      <c r="F811" s="5"/>
      <c r="G811" s="7"/>
      <c r="H811" s="8"/>
      <c r="I811" s="8"/>
      <c r="J811" s="9"/>
      <c r="K811" s="10" t="str">
        <f aca="false">IF(H811*J811=0,"",H811*J811)</f>
        <v/>
      </c>
      <c r="L811" s="11"/>
      <c r="M811" s="11"/>
      <c r="N811" s="10" t="str">
        <f aca="false">IF(L811+M811=0,"",L811+M811)</f>
        <v/>
      </c>
      <c r="O811" s="12" t="str">
        <f aca="false">IF(OR(H811="",I811="",J811=""),"",IF(F811="Long",(I811-H811)*J811*IF(G811="",1,G811),(H811-I811)*J811*IF(G811="",1,G811)))</f>
        <v/>
      </c>
      <c r="P811" s="13" t="str">
        <f aca="false">IF(O811="","",O811-IF(N811="",0,N811))</f>
        <v/>
      </c>
      <c r="Q811" s="14" t="str">
        <f aca="false">IFERROR(IF(P811="","",P811/K811),"")</f>
        <v/>
      </c>
      <c r="R811" s="6"/>
      <c r="S811" s="5"/>
      <c r="T811" s="15"/>
    </row>
    <row r="812" customFormat="false" ht="18" hidden="false" customHeight="true" outlineLevel="0" collapsed="false">
      <c r="A812" s="16" t="str">
        <f aca="false">IF(B812&lt;&gt;"",ROW()-2,"")</f>
        <v/>
      </c>
      <c r="B812" s="17"/>
      <c r="C812" s="17"/>
      <c r="D812" s="18"/>
      <c r="E812" s="19"/>
      <c r="F812" s="18"/>
      <c r="G812" s="20"/>
      <c r="H812" s="21"/>
      <c r="I812" s="21"/>
      <c r="J812" s="22"/>
      <c r="K812" s="23" t="str">
        <f aca="false">IF(H812*J812=0,"",H812*J812)</f>
        <v/>
      </c>
      <c r="L812" s="24"/>
      <c r="M812" s="24"/>
      <c r="N812" s="23" t="str">
        <f aca="false">IF(L812+M812=0,"",L812+M812)</f>
        <v/>
      </c>
      <c r="O812" s="25" t="str">
        <f aca="false">IF(OR(H812="",I812="",J812=""),"",IF(F812="Long",(I812-H812)*J812*IF(G812="",1,G812),(H812-I812)*J812*IF(G812="",1,G812)))</f>
        <v/>
      </c>
      <c r="P812" s="26" t="str">
        <f aca="false">IF(O812="","",O812-IF(N812="",0,N812))</f>
        <v/>
      </c>
      <c r="Q812" s="27" t="str">
        <f aca="false">IFERROR(IF(P812="","",P812/K812),"")</f>
        <v/>
      </c>
      <c r="R812" s="19"/>
      <c r="S812" s="18"/>
      <c r="T812" s="28"/>
    </row>
    <row r="813" customFormat="false" ht="18" hidden="false" customHeight="true" outlineLevel="0" collapsed="false">
      <c r="A813" s="3" t="str">
        <f aca="false">IF(B813&lt;&gt;"",ROW()-2,"")</f>
        <v/>
      </c>
      <c r="B813" s="4"/>
      <c r="C813" s="4"/>
      <c r="D813" s="5"/>
      <c r="E813" s="6"/>
      <c r="F813" s="5"/>
      <c r="G813" s="7"/>
      <c r="H813" s="8"/>
      <c r="I813" s="8"/>
      <c r="J813" s="9"/>
      <c r="K813" s="10" t="str">
        <f aca="false">IF(H813*J813=0,"",H813*J813)</f>
        <v/>
      </c>
      <c r="L813" s="11"/>
      <c r="M813" s="11"/>
      <c r="N813" s="10" t="str">
        <f aca="false">IF(L813+M813=0,"",L813+M813)</f>
        <v/>
      </c>
      <c r="O813" s="12" t="str">
        <f aca="false">IF(OR(H813="",I813="",J813=""),"",IF(F813="Long",(I813-H813)*J813*IF(G813="",1,G813),(H813-I813)*J813*IF(G813="",1,G813)))</f>
        <v/>
      </c>
      <c r="P813" s="13" t="str">
        <f aca="false">IF(O813="","",O813-IF(N813="",0,N813))</f>
        <v/>
      </c>
      <c r="Q813" s="14" t="str">
        <f aca="false">IFERROR(IF(P813="","",P813/K813),"")</f>
        <v/>
      </c>
      <c r="R813" s="6"/>
      <c r="S813" s="5"/>
      <c r="T813" s="15"/>
    </row>
    <row r="814" customFormat="false" ht="18" hidden="false" customHeight="true" outlineLevel="0" collapsed="false">
      <c r="A814" s="16" t="str">
        <f aca="false">IF(B814&lt;&gt;"",ROW()-2,"")</f>
        <v/>
      </c>
      <c r="B814" s="17"/>
      <c r="C814" s="17"/>
      <c r="D814" s="18"/>
      <c r="E814" s="19"/>
      <c r="F814" s="18"/>
      <c r="G814" s="20"/>
      <c r="H814" s="21"/>
      <c r="I814" s="21"/>
      <c r="J814" s="22"/>
      <c r="K814" s="23" t="str">
        <f aca="false">IF(H814*J814=0,"",H814*J814)</f>
        <v/>
      </c>
      <c r="L814" s="24"/>
      <c r="M814" s="24"/>
      <c r="N814" s="23" t="str">
        <f aca="false">IF(L814+M814=0,"",L814+M814)</f>
        <v/>
      </c>
      <c r="O814" s="25" t="str">
        <f aca="false">IF(OR(H814="",I814="",J814=""),"",IF(F814="Long",(I814-H814)*J814*IF(G814="",1,G814),(H814-I814)*J814*IF(G814="",1,G814)))</f>
        <v/>
      </c>
      <c r="P814" s="26" t="str">
        <f aca="false">IF(O814="","",O814-IF(N814="",0,N814))</f>
        <v/>
      </c>
      <c r="Q814" s="27" t="str">
        <f aca="false">IFERROR(IF(P814="","",P814/K814),"")</f>
        <v/>
      </c>
      <c r="R814" s="19"/>
      <c r="S814" s="18"/>
      <c r="T814" s="28"/>
    </row>
    <row r="815" customFormat="false" ht="18" hidden="false" customHeight="true" outlineLevel="0" collapsed="false">
      <c r="A815" s="3" t="str">
        <f aca="false">IF(B815&lt;&gt;"",ROW()-2,"")</f>
        <v/>
      </c>
      <c r="B815" s="4"/>
      <c r="C815" s="4"/>
      <c r="D815" s="5"/>
      <c r="E815" s="6"/>
      <c r="F815" s="5"/>
      <c r="G815" s="7"/>
      <c r="H815" s="8"/>
      <c r="I815" s="8"/>
      <c r="J815" s="9"/>
      <c r="K815" s="10" t="str">
        <f aca="false">IF(H815*J815=0,"",H815*J815)</f>
        <v/>
      </c>
      <c r="L815" s="11"/>
      <c r="M815" s="11"/>
      <c r="N815" s="10" t="str">
        <f aca="false">IF(L815+M815=0,"",L815+M815)</f>
        <v/>
      </c>
      <c r="O815" s="12" t="str">
        <f aca="false">IF(OR(H815="",I815="",J815=""),"",IF(F815="Long",(I815-H815)*J815*IF(G815="",1,G815),(H815-I815)*J815*IF(G815="",1,G815)))</f>
        <v/>
      </c>
      <c r="P815" s="13" t="str">
        <f aca="false">IF(O815="","",O815-IF(N815="",0,N815))</f>
        <v/>
      </c>
      <c r="Q815" s="14" t="str">
        <f aca="false">IFERROR(IF(P815="","",P815/K815),"")</f>
        <v/>
      </c>
      <c r="R815" s="6"/>
      <c r="S815" s="5"/>
      <c r="T815" s="15"/>
    </row>
    <row r="816" customFormat="false" ht="18" hidden="false" customHeight="true" outlineLevel="0" collapsed="false">
      <c r="A816" s="16" t="str">
        <f aca="false">IF(B816&lt;&gt;"",ROW()-2,"")</f>
        <v/>
      </c>
      <c r="B816" s="17"/>
      <c r="C816" s="17"/>
      <c r="D816" s="18"/>
      <c r="E816" s="19"/>
      <c r="F816" s="18"/>
      <c r="G816" s="20"/>
      <c r="H816" s="21"/>
      <c r="I816" s="21"/>
      <c r="J816" s="22"/>
      <c r="K816" s="23" t="str">
        <f aca="false">IF(H816*J816=0,"",H816*J816)</f>
        <v/>
      </c>
      <c r="L816" s="24"/>
      <c r="M816" s="24"/>
      <c r="N816" s="23" t="str">
        <f aca="false">IF(L816+M816=0,"",L816+M816)</f>
        <v/>
      </c>
      <c r="O816" s="25" t="str">
        <f aca="false">IF(OR(H816="",I816="",J816=""),"",IF(F816="Long",(I816-H816)*J816*IF(G816="",1,G816),(H816-I816)*J816*IF(G816="",1,G816)))</f>
        <v/>
      </c>
      <c r="P816" s="26" t="str">
        <f aca="false">IF(O816="","",O816-IF(N816="",0,N816))</f>
        <v/>
      </c>
      <c r="Q816" s="27" t="str">
        <f aca="false">IFERROR(IF(P816="","",P816/K816),"")</f>
        <v/>
      </c>
      <c r="R816" s="19"/>
      <c r="S816" s="18"/>
      <c r="T816" s="28"/>
    </row>
    <row r="817" customFormat="false" ht="18" hidden="false" customHeight="true" outlineLevel="0" collapsed="false">
      <c r="A817" s="3" t="str">
        <f aca="false">IF(B817&lt;&gt;"",ROW()-2,"")</f>
        <v/>
      </c>
      <c r="B817" s="4"/>
      <c r="C817" s="4"/>
      <c r="D817" s="5"/>
      <c r="E817" s="6"/>
      <c r="F817" s="5"/>
      <c r="G817" s="7"/>
      <c r="H817" s="8"/>
      <c r="I817" s="8"/>
      <c r="J817" s="9"/>
      <c r="K817" s="10" t="str">
        <f aca="false">IF(H817*J817=0,"",H817*J817)</f>
        <v/>
      </c>
      <c r="L817" s="11"/>
      <c r="M817" s="11"/>
      <c r="N817" s="10" t="str">
        <f aca="false">IF(L817+M817=0,"",L817+M817)</f>
        <v/>
      </c>
      <c r="O817" s="12" t="str">
        <f aca="false">IF(OR(H817="",I817="",J817=""),"",IF(F817="Long",(I817-H817)*J817*IF(G817="",1,G817),(H817-I817)*J817*IF(G817="",1,G817)))</f>
        <v/>
      </c>
      <c r="P817" s="13" t="str">
        <f aca="false">IF(O817="","",O817-IF(N817="",0,N817))</f>
        <v/>
      </c>
      <c r="Q817" s="14" t="str">
        <f aca="false">IFERROR(IF(P817="","",P817/K817),"")</f>
        <v/>
      </c>
      <c r="R817" s="6"/>
      <c r="S817" s="5"/>
      <c r="T817" s="15"/>
    </row>
    <row r="818" customFormat="false" ht="18" hidden="false" customHeight="true" outlineLevel="0" collapsed="false">
      <c r="A818" s="16" t="str">
        <f aca="false">IF(B818&lt;&gt;"",ROW()-2,"")</f>
        <v/>
      </c>
      <c r="B818" s="17"/>
      <c r="C818" s="17"/>
      <c r="D818" s="18"/>
      <c r="E818" s="19"/>
      <c r="F818" s="18"/>
      <c r="G818" s="20"/>
      <c r="H818" s="21"/>
      <c r="I818" s="21"/>
      <c r="J818" s="22"/>
      <c r="K818" s="23" t="str">
        <f aca="false">IF(H818*J818=0,"",H818*J818)</f>
        <v/>
      </c>
      <c r="L818" s="24"/>
      <c r="M818" s="24"/>
      <c r="N818" s="23" t="str">
        <f aca="false">IF(L818+M818=0,"",L818+M818)</f>
        <v/>
      </c>
      <c r="O818" s="25" t="str">
        <f aca="false">IF(OR(H818="",I818="",J818=""),"",IF(F818="Long",(I818-H818)*J818*IF(G818="",1,G818),(H818-I818)*J818*IF(G818="",1,G818)))</f>
        <v/>
      </c>
      <c r="P818" s="26" t="str">
        <f aca="false">IF(O818="","",O818-IF(N818="",0,N818))</f>
        <v/>
      </c>
      <c r="Q818" s="27" t="str">
        <f aca="false">IFERROR(IF(P818="","",P818/K818),"")</f>
        <v/>
      </c>
      <c r="R818" s="19"/>
      <c r="S818" s="18"/>
      <c r="T818" s="28"/>
    </row>
    <row r="819" customFormat="false" ht="18" hidden="false" customHeight="true" outlineLevel="0" collapsed="false">
      <c r="A819" s="3" t="str">
        <f aca="false">IF(B819&lt;&gt;"",ROW()-2,"")</f>
        <v/>
      </c>
      <c r="B819" s="4"/>
      <c r="C819" s="4"/>
      <c r="D819" s="5"/>
      <c r="E819" s="6"/>
      <c r="F819" s="5"/>
      <c r="G819" s="7"/>
      <c r="H819" s="8"/>
      <c r="I819" s="8"/>
      <c r="J819" s="9"/>
      <c r="K819" s="10" t="str">
        <f aca="false">IF(H819*J819=0,"",H819*J819)</f>
        <v/>
      </c>
      <c r="L819" s="11"/>
      <c r="M819" s="11"/>
      <c r="N819" s="10" t="str">
        <f aca="false">IF(L819+M819=0,"",L819+M819)</f>
        <v/>
      </c>
      <c r="O819" s="12" t="str">
        <f aca="false">IF(OR(H819="",I819="",J819=""),"",IF(F819="Long",(I819-H819)*J819*IF(G819="",1,G819),(H819-I819)*J819*IF(G819="",1,G819)))</f>
        <v/>
      </c>
      <c r="P819" s="13" t="str">
        <f aca="false">IF(O819="","",O819-IF(N819="",0,N819))</f>
        <v/>
      </c>
      <c r="Q819" s="14" t="str">
        <f aca="false">IFERROR(IF(P819="","",P819/K819),"")</f>
        <v/>
      </c>
      <c r="R819" s="6"/>
      <c r="S819" s="5"/>
      <c r="T819" s="15"/>
    </row>
    <row r="820" customFormat="false" ht="18" hidden="false" customHeight="true" outlineLevel="0" collapsed="false">
      <c r="A820" s="16" t="str">
        <f aca="false">IF(B820&lt;&gt;"",ROW()-2,"")</f>
        <v/>
      </c>
      <c r="B820" s="17"/>
      <c r="C820" s="17"/>
      <c r="D820" s="18"/>
      <c r="E820" s="19"/>
      <c r="F820" s="18"/>
      <c r="G820" s="20"/>
      <c r="H820" s="21"/>
      <c r="I820" s="21"/>
      <c r="J820" s="22"/>
      <c r="K820" s="23" t="str">
        <f aca="false">IF(H820*J820=0,"",H820*J820)</f>
        <v/>
      </c>
      <c r="L820" s="24"/>
      <c r="M820" s="24"/>
      <c r="N820" s="23" t="str">
        <f aca="false">IF(L820+M820=0,"",L820+M820)</f>
        <v/>
      </c>
      <c r="O820" s="25" t="str">
        <f aca="false">IF(OR(H820="",I820="",J820=""),"",IF(F820="Long",(I820-H820)*J820*IF(G820="",1,G820),(H820-I820)*J820*IF(G820="",1,G820)))</f>
        <v/>
      </c>
      <c r="P820" s="26" t="str">
        <f aca="false">IF(O820="","",O820-IF(N820="",0,N820))</f>
        <v/>
      </c>
      <c r="Q820" s="27" t="str">
        <f aca="false">IFERROR(IF(P820="","",P820/K820),"")</f>
        <v/>
      </c>
      <c r="R820" s="19"/>
      <c r="S820" s="18"/>
      <c r="T820" s="28"/>
    </row>
    <row r="821" customFormat="false" ht="18" hidden="false" customHeight="true" outlineLevel="0" collapsed="false">
      <c r="A821" s="3" t="str">
        <f aca="false">IF(B821&lt;&gt;"",ROW()-2,"")</f>
        <v/>
      </c>
      <c r="B821" s="4"/>
      <c r="C821" s="4"/>
      <c r="D821" s="5"/>
      <c r="E821" s="6"/>
      <c r="F821" s="5"/>
      <c r="G821" s="7"/>
      <c r="H821" s="8"/>
      <c r="I821" s="8"/>
      <c r="J821" s="9"/>
      <c r="K821" s="10" t="str">
        <f aca="false">IF(H821*J821=0,"",H821*J821)</f>
        <v/>
      </c>
      <c r="L821" s="11"/>
      <c r="M821" s="11"/>
      <c r="N821" s="10" t="str">
        <f aca="false">IF(L821+M821=0,"",L821+M821)</f>
        <v/>
      </c>
      <c r="O821" s="12" t="str">
        <f aca="false">IF(OR(H821="",I821="",J821=""),"",IF(F821="Long",(I821-H821)*J821*IF(G821="",1,G821),(H821-I821)*J821*IF(G821="",1,G821)))</f>
        <v/>
      </c>
      <c r="P821" s="13" t="str">
        <f aca="false">IF(O821="","",O821-IF(N821="",0,N821))</f>
        <v/>
      </c>
      <c r="Q821" s="14" t="str">
        <f aca="false">IFERROR(IF(P821="","",P821/K821),"")</f>
        <v/>
      </c>
      <c r="R821" s="6"/>
      <c r="S821" s="5"/>
      <c r="T821" s="15"/>
    </row>
    <row r="822" customFormat="false" ht="18" hidden="false" customHeight="true" outlineLevel="0" collapsed="false">
      <c r="A822" s="16" t="str">
        <f aca="false">IF(B822&lt;&gt;"",ROW()-2,"")</f>
        <v/>
      </c>
      <c r="B822" s="17"/>
      <c r="C822" s="17"/>
      <c r="D822" s="18"/>
      <c r="E822" s="19"/>
      <c r="F822" s="18"/>
      <c r="G822" s="20"/>
      <c r="H822" s="21"/>
      <c r="I822" s="21"/>
      <c r="J822" s="22"/>
      <c r="K822" s="23" t="str">
        <f aca="false">IF(H822*J822=0,"",H822*J822)</f>
        <v/>
      </c>
      <c r="L822" s="24"/>
      <c r="M822" s="24"/>
      <c r="N822" s="23" t="str">
        <f aca="false">IF(L822+M822=0,"",L822+M822)</f>
        <v/>
      </c>
      <c r="O822" s="25" t="str">
        <f aca="false">IF(OR(H822="",I822="",J822=""),"",IF(F822="Long",(I822-H822)*J822*IF(G822="",1,G822),(H822-I822)*J822*IF(G822="",1,G822)))</f>
        <v/>
      </c>
      <c r="P822" s="26" t="str">
        <f aca="false">IF(O822="","",O822-IF(N822="",0,N822))</f>
        <v/>
      </c>
      <c r="Q822" s="27" t="str">
        <f aca="false">IFERROR(IF(P822="","",P822/K822),"")</f>
        <v/>
      </c>
      <c r="R822" s="19"/>
      <c r="S822" s="18"/>
      <c r="T822" s="28"/>
    </row>
    <row r="823" customFormat="false" ht="18" hidden="false" customHeight="true" outlineLevel="0" collapsed="false">
      <c r="A823" s="3" t="str">
        <f aca="false">IF(B823&lt;&gt;"",ROW()-2,"")</f>
        <v/>
      </c>
      <c r="B823" s="4"/>
      <c r="C823" s="4"/>
      <c r="D823" s="5"/>
      <c r="E823" s="6"/>
      <c r="F823" s="5"/>
      <c r="G823" s="7"/>
      <c r="H823" s="8"/>
      <c r="I823" s="8"/>
      <c r="J823" s="9"/>
      <c r="K823" s="10" t="str">
        <f aca="false">IF(H823*J823=0,"",H823*J823)</f>
        <v/>
      </c>
      <c r="L823" s="11"/>
      <c r="M823" s="11"/>
      <c r="N823" s="10" t="str">
        <f aca="false">IF(L823+M823=0,"",L823+M823)</f>
        <v/>
      </c>
      <c r="O823" s="12" t="str">
        <f aca="false">IF(OR(H823="",I823="",J823=""),"",IF(F823="Long",(I823-H823)*J823*IF(G823="",1,G823),(H823-I823)*J823*IF(G823="",1,G823)))</f>
        <v/>
      </c>
      <c r="P823" s="13" t="str">
        <f aca="false">IF(O823="","",O823-IF(N823="",0,N823))</f>
        <v/>
      </c>
      <c r="Q823" s="14" t="str">
        <f aca="false">IFERROR(IF(P823="","",P823/K823),"")</f>
        <v/>
      </c>
      <c r="R823" s="6"/>
      <c r="S823" s="5"/>
      <c r="T823" s="15"/>
    </row>
    <row r="824" customFormat="false" ht="18" hidden="false" customHeight="true" outlineLevel="0" collapsed="false">
      <c r="A824" s="16" t="str">
        <f aca="false">IF(B824&lt;&gt;"",ROW()-2,"")</f>
        <v/>
      </c>
      <c r="B824" s="17"/>
      <c r="C824" s="17"/>
      <c r="D824" s="18"/>
      <c r="E824" s="19"/>
      <c r="F824" s="18"/>
      <c r="G824" s="20"/>
      <c r="H824" s="21"/>
      <c r="I824" s="21"/>
      <c r="J824" s="22"/>
      <c r="K824" s="23" t="str">
        <f aca="false">IF(H824*J824=0,"",H824*J824)</f>
        <v/>
      </c>
      <c r="L824" s="24"/>
      <c r="M824" s="24"/>
      <c r="N824" s="23" t="str">
        <f aca="false">IF(L824+M824=0,"",L824+M824)</f>
        <v/>
      </c>
      <c r="O824" s="25" t="str">
        <f aca="false">IF(OR(H824="",I824="",J824=""),"",IF(F824="Long",(I824-H824)*J824*IF(G824="",1,G824),(H824-I824)*J824*IF(G824="",1,G824)))</f>
        <v/>
      </c>
      <c r="P824" s="26" t="str">
        <f aca="false">IF(O824="","",O824-IF(N824="",0,N824))</f>
        <v/>
      </c>
      <c r="Q824" s="27" t="str">
        <f aca="false">IFERROR(IF(P824="","",P824/K824),"")</f>
        <v/>
      </c>
      <c r="R824" s="19"/>
      <c r="S824" s="18"/>
      <c r="T824" s="28"/>
    </row>
    <row r="825" customFormat="false" ht="18" hidden="false" customHeight="true" outlineLevel="0" collapsed="false">
      <c r="A825" s="3" t="str">
        <f aca="false">IF(B825&lt;&gt;"",ROW()-2,"")</f>
        <v/>
      </c>
      <c r="B825" s="4"/>
      <c r="C825" s="4"/>
      <c r="D825" s="5"/>
      <c r="E825" s="6"/>
      <c r="F825" s="5"/>
      <c r="G825" s="7"/>
      <c r="H825" s="8"/>
      <c r="I825" s="8"/>
      <c r="J825" s="9"/>
      <c r="K825" s="10" t="str">
        <f aca="false">IF(H825*J825=0,"",H825*J825)</f>
        <v/>
      </c>
      <c r="L825" s="11"/>
      <c r="M825" s="11"/>
      <c r="N825" s="10" t="str">
        <f aca="false">IF(L825+M825=0,"",L825+M825)</f>
        <v/>
      </c>
      <c r="O825" s="12" t="str">
        <f aca="false">IF(OR(H825="",I825="",J825=""),"",IF(F825="Long",(I825-H825)*J825*IF(G825="",1,G825),(H825-I825)*J825*IF(G825="",1,G825)))</f>
        <v/>
      </c>
      <c r="P825" s="13" t="str">
        <f aca="false">IF(O825="","",O825-IF(N825="",0,N825))</f>
        <v/>
      </c>
      <c r="Q825" s="14" t="str">
        <f aca="false">IFERROR(IF(P825="","",P825/K825),"")</f>
        <v/>
      </c>
      <c r="R825" s="6"/>
      <c r="S825" s="5"/>
      <c r="T825" s="15"/>
    </row>
    <row r="826" customFormat="false" ht="18" hidden="false" customHeight="true" outlineLevel="0" collapsed="false">
      <c r="A826" s="16" t="str">
        <f aca="false">IF(B826&lt;&gt;"",ROW()-2,"")</f>
        <v/>
      </c>
      <c r="B826" s="17"/>
      <c r="C826" s="17"/>
      <c r="D826" s="18"/>
      <c r="E826" s="19"/>
      <c r="F826" s="18"/>
      <c r="G826" s="20"/>
      <c r="H826" s="21"/>
      <c r="I826" s="21"/>
      <c r="J826" s="22"/>
      <c r="K826" s="23" t="str">
        <f aca="false">IF(H826*J826=0,"",H826*J826)</f>
        <v/>
      </c>
      <c r="L826" s="24"/>
      <c r="M826" s="24"/>
      <c r="N826" s="23" t="str">
        <f aca="false">IF(L826+M826=0,"",L826+M826)</f>
        <v/>
      </c>
      <c r="O826" s="25" t="str">
        <f aca="false">IF(OR(H826="",I826="",J826=""),"",IF(F826="Long",(I826-H826)*J826*IF(G826="",1,G826),(H826-I826)*J826*IF(G826="",1,G826)))</f>
        <v/>
      </c>
      <c r="P826" s="26" t="str">
        <f aca="false">IF(O826="","",O826-IF(N826="",0,N826))</f>
        <v/>
      </c>
      <c r="Q826" s="27" t="str">
        <f aca="false">IFERROR(IF(P826="","",P826/K826),"")</f>
        <v/>
      </c>
      <c r="R826" s="19"/>
      <c r="S826" s="18"/>
      <c r="T826" s="28"/>
    </row>
    <row r="827" customFormat="false" ht="18" hidden="false" customHeight="true" outlineLevel="0" collapsed="false">
      <c r="A827" s="3" t="str">
        <f aca="false">IF(B827&lt;&gt;"",ROW()-2,"")</f>
        <v/>
      </c>
      <c r="B827" s="4"/>
      <c r="C827" s="4"/>
      <c r="D827" s="5"/>
      <c r="E827" s="6"/>
      <c r="F827" s="5"/>
      <c r="G827" s="7"/>
      <c r="H827" s="8"/>
      <c r="I827" s="8"/>
      <c r="J827" s="9"/>
      <c r="K827" s="10" t="str">
        <f aca="false">IF(H827*J827=0,"",H827*J827)</f>
        <v/>
      </c>
      <c r="L827" s="11"/>
      <c r="M827" s="11"/>
      <c r="N827" s="10" t="str">
        <f aca="false">IF(L827+M827=0,"",L827+M827)</f>
        <v/>
      </c>
      <c r="O827" s="12" t="str">
        <f aca="false">IF(OR(H827="",I827="",J827=""),"",IF(F827="Long",(I827-H827)*J827*IF(G827="",1,G827),(H827-I827)*J827*IF(G827="",1,G827)))</f>
        <v/>
      </c>
      <c r="P827" s="13" t="str">
        <f aca="false">IF(O827="","",O827-IF(N827="",0,N827))</f>
        <v/>
      </c>
      <c r="Q827" s="14" t="str">
        <f aca="false">IFERROR(IF(P827="","",P827/K827),"")</f>
        <v/>
      </c>
      <c r="R827" s="6"/>
      <c r="S827" s="5"/>
      <c r="T827" s="15"/>
    </row>
    <row r="828" customFormat="false" ht="18" hidden="false" customHeight="true" outlineLevel="0" collapsed="false">
      <c r="A828" s="16" t="str">
        <f aca="false">IF(B828&lt;&gt;"",ROW()-2,"")</f>
        <v/>
      </c>
      <c r="B828" s="17"/>
      <c r="C828" s="17"/>
      <c r="D828" s="18"/>
      <c r="E828" s="19"/>
      <c r="F828" s="18"/>
      <c r="G828" s="20"/>
      <c r="H828" s="21"/>
      <c r="I828" s="21"/>
      <c r="J828" s="22"/>
      <c r="K828" s="23" t="str">
        <f aca="false">IF(H828*J828=0,"",H828*J828)</f>
        <v/>
      </c>
      <c r="L828" s="24"/>
      <c r="M828" s="24"/>
      <c r="N828" s="23" t="str">
        <f aca="false">IF(L828+M828=0,"",L828+M828)</f>
        <v/>
      </c>
      <c r="O828" s="25" t="str">
        <f aca="false">IF(OR(H828="",I828="",J828=""),"",IF(F828="Long",(I828-H828)*J828*IF(G828="",1,G828),(H828-I828)*J828*IF(G828="",1,G828)))</f>
        <v/>
      </c>
      <c r="P828" s="26" t="str">
        <f aca="false">IF(O828="","",O828-IF(N828="",0,N828))</f>
        <v/>
      </c>
      <c r="Q828" s="27" t="str">
        <f aca="false">IFERROR(IF(P828="","",P828/K828),"")</f>
        <v/>
      </c>
      <c r="R828" s="19"/>
      <c r="S828" s="18"/>
      <c r="T828" s="28"/>
    </row>
    <row r="829" customFormat="false" ht="18" hidden="false" customHeight="true" outlineLevel="0" collapsed="false">
      <c r="A829" s="3" t="str">
        <f aca="false">IF(B829&lt;&gt;"",ROW()-2,"")</f>
        <v/>
      </c>
      <c r="B829" s="4"/>
      <c r="C829" s="4"/>
      <c r="D829" s="5"/>
      <c r="E829" s="6"/>
      <c r="F829" s="5"/>
      <c r="G829" s="7"/>
      <c r="H829" s="8"/>
      <c r="I829" s="8"/>
      <c r="J829" s="9"/>
      <c r="K829" s="10" t="str">
        <f aca="false">IF(H829*J829=0,"",H829*J829)</f>
        <v/>
      </c>
      <c r="L829" s="11"/>
      <c r="M829" s="11"/>
      <c r="N829" s="10" t="str">
        <f aca="false">IF(L829+M829=0,"",L829+M829)</f>
        <v/>
      </c>
      <c r="O829" s="12" t="str">
        <f aca="false">IF(OR(H829="",I829="",J829=""),"",IF(F829="Long",(I829-H829)*J829*IF(G829="",1,G829),(H829-I829)*J829*IF(G829="",1,G829)))</f>
        <v/>
      </c>
      <c r="P829" s="13" t="str">
        <f aca="false">IF(O829="","",O829-IF(N829="",0,N829))</f>
        <v/>
      </c>
      <c r="Q829" s="14" t="str">
        <f aca="false">IFERROR(IF(P829="","",P829/K829),"")</f>
        <v/>
      </c>
      <c r="R829" s="6"/>
      <c r="S829" s="5"/>
      <c r="T829" s="15"/>
    </row>
    <row r="830" customFormat="false" ht="18" hidden="false" customHeight="true" outlineLevel="0" collapsed="false">
      <c r="A830" s="16" t="str">
        <f aca="false">IF(B830&lt;&gt;"",ROW()-2,"")</f>
        <v/>
      </c>
      <c r="B830" s="17"/>
      <c r="C830" s="17"/>
      <c r="D830" s="18"/>
      <c r="E830" s="19"/>
      <c r="F830" s="18"/>
      <c r="G830" s="20"/>
      <c r="H830" s="21"/>
      <c r="I830" s="21"/>
      <c r="J830" s="22"/>
      <c r="K830" s="23" t="str">
        <f aca="false">IF(H830*J830=0,"",H830*J830)</f>
        <v/>
      </c>
      <c r="L830" s="24"/>
      <c r="M830" s="24"/>
      <c r="N830" s="23" t="str">
        <f aca="false">IF(L830+M830=0,"",L830+M830)</f>
        <v/>
      </c>
      <c r="O830" s="25" t="str">
        <f aca="false">IF(OR(H830="",I830="",J830=""),"",IF(F830="Long",(I830-H830)*J830*IF(G830="",1,G830),(H830-I830)*J830*IF(G830="",1,G830)))</f>
        <v/>
      </c>
      <c r="P830" s="26" t="str">
        <f aca="false">IF(O830="","",O830-IF(N830="",0,N830))</f>
        <v/>
      </c>
      <c r="Q830" s="27" t="str">
        <f aca="false">IFERROR(IF(P830="","",P830/K830),"")</f>
        <v/>
      </c>
      <c r="R830" s="19"/>
      <c r="S830" s="18"/>
      <c r="T830" s="28"/>
    </row>
    <row r="831" customFormat="false" ht="18" hidden="false" customHeight="true" outlineLevel="0" collapsed="false">
      <c r="A831" s="3" t="str">
        <f aca="false">IF(B831&lt;&gt;"",ROW()-2,"")</f>
        <v/>
      </c>
      <c r="B831" s="4"/>
      <c r="C831" s="4"/>
      <c r="D831" s="5"/>
      <c r="E831" s="6"/>
      <c r="F831" s="5"/>
      <c r="G831" s="7"/>
      <c r="H831" s="8"/>
      <c r="I831" s="8"/>
      <c r="J831" s="9"/>
      <c r="K831" s="10" t="str">
        <f aca="false">IF(H831*J831=0,"",H831*J831)</f>
        <v/>
      </c>
      <c r="L831" s="11"/>
      <c r="M831" s="11"/>
      <c r="N831" s="10" t="str">
        <f aca="false">IF(L831+M831=0,"",L831+M831)</f>
        <v/>
      </c>
      <c r="O831" s="12" t="str">
        <f aca="false">IF(OR(H831="",I831="",J831=""),"",IF(F831="Long",(I831-H831)*J831*IF(G831="",1,G831),(H831-I831)*J831*IF(G831="",1,G831)))</f>
        <v/>
      </c>
      <c r="P831" s="13" t="str">
        <f aca="false">IF(O831="","",O831-IF(N831="",0,N831))</f>
        <v/>
      </c>
      <c r="Q831" s="14" t="str">
        <f aca="false">IFERROR(IF(P831="","",P831/K831),"")</f>
        <v/>
      </c>
      <c r="R831" s="6"/>
      <c r="S831" s="5"/>
      <c r="T831" s="15"/>
    </row>
    <row r="832" customFormat="false" ht="18" hidden="false" customHeight="true" outlineLevel="0" collapsed="false">
      <c r="A832" s="16" t="str">
        <f aca="false">IF(B832&lt;&gt;"",ROW()-2,"")</f>
        <v/>
      </c>
      <c r="B832" s="17"/>
      <c r="C832" s="17"/>
      <c r="D832" s="18"/>
      <c r="E832" s="19"/>
      <c r="F832" s="18"/>
      <c r="G832" s="20"/>
      <c r="H832" s="21"/>
      <c r="I832" s="21"/>
      <c r="J832" s="22"/>
      <c r="K832" s="23" t="str">
        <f aca="false">IF(H832*J832=0,"",H832*J832)</f>
        <v/>
      </c>
      <c r="L832" s="24"/>
      <c r="M832" s="24"/>
      <c r="N832" s="23" t="str">
        <f aca="false">IF(L832+M832=0,"",L832+M832)</f>
        <v/>
      </c>
      <c r="O832" s="25" t="str">
        <f aca="false">IF(OR(H832="",I832="",J832=""),"",IF(F832="Long",(I832-H832)*J832*IF(G832="",1,G832),(H832-I832)*J832*IF(G832="",1,G832)))</f>
        <v/>
      </c>
      <c r="P832" s="26" t="str">
        <f aca="false">IF(O832="","",O832-IF(N832="",0,N832))</f>
        <v/>
      </c>
      <c r="Q832" s="27" t="str">
        <f aca="false">IFERROR(IF(P832="","",P832/K832),"")</f>
        <v/>
      </c>
      <c r="R832" s="19"/>
      <c r="S832" s="18"/>
      <c r="T832" s="28"/>
    </row>
    <row r="833" customFormat="false" ht="18" hidden="false" customHeight="true" outlineLevel="0" collapsed="false">
      <c r="A833" s="3" t="str">
        <f aca="false">IF(B833&lt;&gt;"",ROW()-2,"")</f>
        <v/>
      </c>
      <c r="B833" s="4"/>
      <c r="C833" s="4"/>
      <c r="D833" s="5"/>
      <c r="E833" s="6"/>
      <c r="F833" s="5"/>
      <c r="G833" s="7"/>
      <c r="H833" s="8"/>
      <c r="I833" s="8"/>
      <c r="J833" s="9"/>
      <c r="K833" s="10" t="str">
        <f aca="false">IF(H833*J833=0,"",H833*J833)</f>
        <v/>
      </c>
      <c r="L833" s="11"/>
      <c r="M833" s="11"/>
      <c r="N833" s="10" t="str">
        <f aca="false">IF(L833+M833=0,"",L833+M833)</f>
        <v/>
      </c>
      <c r="O833" s="12" t="str">
        <f aca="false">IF(OR(H833="",I833="",J833=""),"",IF(F833="Long",(I833-H833)*J833*IF(G833="",1,G833),(H833-I833)*J833*IF(G833="",1,G833)))</f>
        <v/>
      </c>
      <c r="P833" s="13" t="str">
        <f aca="false">IF(O833="","",O833-IF(N833="",0,N833))</f>
        <v/>
      </c>
      <c r="Q833" s="14" t="str">
        <f aca="false">IFERROR(IF(P833="","",P833/K833),"")</f>
        <v/>
      </c>
      <c r="R833" s="6"/>
      <c r="S833" s="5"/>
      <c r="T833" s="15"/>
    </row>
    <row r="834" customFormat="false" ht="18" hidden="false" customHeight="true" outlineLevel="0" collapsed="false">
      <c r="A834" s="16" t="str">
        <f aca="false">IF(B834&lt;&gt;"",ROW()-2,"")</f>
        <v/>
      </c>
      <c r="B834" s="17"/>
      <c r="C834" s="17"/>
      <c r="D834" s="18"/>
      <c r="E834" s="19"/>
      <c r="F834" s="18"/>
      <c r="G834" s="20"/>
      <c r="H834" s="21"/>
      <c r="I834" s="21"/>
      <c r="J834" s="22"/>
      <c r="K834" s="23" t="str">
        <f aca="false">IF(H834*J834=0,"",H834*J834)</f>
        <v/>
      </c>
      <c r="L834" s="24"/>
      <c r="M834" s="24"/>
      <c r="N834" s="23" t="str">
        <f aca="false">IF(L834+M834=0,"",L834+M834)</f>
        <v/>
      </c>
      <c r="O834" s="25" t="str">
        <f aca="false">IF(OR(H834="",I834="",J834=""),"",IF(F834="Long",(I834-H834)*J834*IF(G834="",1,G834),(H834-I834)*J834*IF(G834="",1,G834)))</f>
        <v/>
      </c>
      <c r="P834" s="26" t="str">
        <f aca="false">IF(O834="","",O834-IF(N834="",0,N834))</f>
        <v/>
      </c>
      <c r="Q834" s="27" t="str">
        <f aca="false">IFERROR(IF(P834="","",P834/K834),"")</f>
        <v/>
      </c>
      <c r="R834" s="19"/>
      <c r="S834" s="18"/>
      <c r="T834" s="28"/>
    </row>
    <row r="835" customFormat="false" ht="18" hidden="false" customHeight="true" outlineLevel="0" collapsed="false">
      <c r="A835" s="3" t="str">
        <f aca="false">IF(B835&lt;&gt;"",ROW()-2,"")</f>
        <v/>
      </c>
      <c r="B835" s="4"/>
      <c r="C835" s="4"/>
      <c r="D835" s="5"/>
      <c r="E835" s="6"/>
      <c r="F835" s="5"/>
      <c r="G835" s="7"/>
      <c r="H835" s="8"/>
      <c r="I835" s="8"/>
      <c r="J835" s="9"/>
      <c r="K835" s="10" t="str">
        <f aca="false">IF(H835*J835=0,"",H835*J835)</f>
        <v/>
      </c>
      <c r="L835" s="11"/>
      <c r="M835" s="11"/>
      <c r="N835" s="10" t="str">
        <f aca="false">IF(L835+M835=0,"",L835+M835)</f>
        <v/>
      </c>
      <c r="O835" s="12" t="str">
        <f aca="false">IF(OR(H835="",I835="",J835=""),"",IF(F835="Long",(I835-H835)*J835*IF(G835="",1,G835),(H835-I835)*J835*IF(G835="",1,G835)))</f>
        <v/>
      </c>
      <c r="P835" s="13" t="str">
        <f aca="false">IF(O835="","",O835-IF(N835="",0,N835))</f>
        <v/>
      </c>
      <c r="Q835" s="14" t="str">
        <f aca="false">IFERROR(IF(P835="","",P835/K835),"")</f>
        <v/>
      </c>
      <c r="R835" s="6"/>
      <c r="S835" s="5"/>
      <c r="T835" s="15"/>
    </row>
    <row r="836" customFormat="false" ht="18" hidden="false" customHeight="true" outlineLevel="0" collapsed="false">
      <c r="A836" s="16" t="str">
        <f aca="false">IF(B836&lt;&gt;"",ROW()-2,"")</f>
        <v/>
      </c>
      <c r="B836" s="17"/>
      <c r="C836" s="17"/>
      <c r="D836" s="18"/>
      <c r="E836" s="19"/>
      <c r="F836" s="18"/>
      <c r="G836" s="20"/>
      <c r="H836" s="21"/>
      <c r="I836" s="21"/>
      <c r="J836" s="22"/>
      <c r="K836" s="23" t="str">
        <f aca="false">IF(H836*J836=0,"",H836*J836)</f>
        <v/>
      </c>
      <c r="L836" s="24"/>
      <c r="M836" s="24"/>
      <c r="N836" s="23" t="str">
        <f aca="false">IF(L836+M836=0,"",L836+M836)</f>
        <v/>
      </c>
      <c r="O836" s="25" t="str">
        <f aca="false">IF(OR(H836="",I836="",J836=""),"",IF(F836="Long",(I836-H836)*J836*IF(G836="",1,G836),(H836-I836)*J836*IF(G836="",1,G836)))</f>
        <v/>
      </c>
      <c r="P836" s="26" t="str">
        <f aca="false">IF(O836="","",O836-IF(N836="",0,N836))</f>
        <v/>
      </c>
      <c r="Q836" s="27" t="str">
        <f aca="false">IFERROR(IF(P836="","",P836/K836),"")</f>
        <v/>
      </c>
      <c r="R836" s="19"/>
      <c r="S836" s="18"/>
      <c r="T836" s="28"/>
    </row>
    <row r="837" customFormat="false" ht="18" hidden="false" customHeight="true" outlineLevel="0" collapsed="false">
      <c r="A837" s="3" t="str">
        <f aca="false">IF(B837&lt;&gt;"",ROW()-2,"")</f>
        <v/>
      </c>
      <c r="B837" s="4"/>
      <c r="C837" s="4"/>
      <c r="D837" s="5"/>
      <c r="E837" s="6"/>
      <c r="F837" s="5"/>
      <c r="G837" s="7"/>
      <c r="H837" s="8"/>
      <c r="I837" s="8"/>
      <c r="J837" s="9"/>
      <c r="K837" s="10" t="str">
        <f aca="false">IF(H837*J837=0,"",H837*J837)</f>
        <v/>
      </c>
      <c r="L837" s="11"/>
      <c r="M837" s="11"/>
      <c r="N837" s="10" t="str">
        <f aca="false">IF(L837+M837=0,"",L837+M837)</f>
        <v/>
      </c>
      <c r="O837" s="12" t="str">
        <f aca="false">IF(OR(H837="",I837="",J837=""),"",IF(F837="Long",(I837-H837)*J837*IF(G837="",1,G837),(H837-I837)*J837*IF(G837="",1,G837)))</f>
        <v/>
      </c>
      <c r="P837" s="13" t="str">
        <f aca="false">IF(O837="","",O837-IF(N837="",0,N837))</f>
        <v/>
      </c>
      <c r="Q837" s="14" t="str">
        <f aca="false">IFERROR(IF(P837="","",P837/K837),"")</f>
        <v/>
      </c>
      <c r="R837" s="6"/>
      <c r="S837" s="5"/>
      <c r="T837" s="15"/>
    </row>
    <row r="838" customFormat="false" ht="18" hidden="false" customHeight="true" outlineLevel="0" collapsed="false">
      <c r="A838" s="16" t="str">
        <f aca="false">IF(B838&lt;&gt;"",ROW()-2,"")</f>
        <v/>
      </c>
      <c r="B838" s="17"/>
      <c r="C838" s="17"/>
      <c r="D838" s="18"/>
      <c r="E838" s="19"/>
      <c r="F838" s="18"/>
      <c r="G838" s="20"/>
      <c r="H838" s="21"/>
      <c r="I838" s="21"/>
      <c r="J838" s="22"/>
      <c r="K838" s="23" t="str">
        <f aca="false">IF(H838*J838=0,"",H838*J838)</f>
        <v/>
      </c>
      <c r="L838" s="24"/>
      <c r="M838" s="24"/>
      <c r="N838" s="23" t="str">
        <f aca="false">IF(L838+M838=0,"",L838+M838)</f>
        <v/>
      </c>
      <c r="O838" s="25" t="str">
        <f aca="false">IF(OR(H838="",I838="",J838=""),"",IF(F838="Long",(I838-H838)*J838*IF(G838="",1,G838),(H838-I838)*J838*IF(G838="",1,G838)))</f>
        <v/>
      </c>
      <c r="P838" s="26" t="str">
        <f aca="false">IF(O838="","",O838-IF(N838="",0,N838))</f>
        <v/>
      </c>
      <c r="Q838" s="27" t="str">
        <f aca="false">IFERROR(IF(P838="","",P838/K838),"")</f>
        <v/>
      </c>
      <c r="R838" s="19"/>
      <c r="S838" s="18"/>
      <c r="T838" s="28"/>
    </row>
    <row r="839" customFormat="false" ht="18" hidden="false" customHeight="true" outlineLevel="0" collapsed="false">
      <c r="A839" s="3" t="str">
        <f aca="false">IF(B839&lt;&gt;"",ROW()-2,"")</f>
        <v/>
      </c>
      <c r="B839" s="4"/>
      <c r="C839" s="4"/>
      <c r="D839" s="5"/>
      <c r="E839" s="6"/>
      <c r="F839" s="5"/>
      <c r="G839" s="7"/>
      <c r="H839" s="8"/>
      <c r="I839" s="8"/>
      <c r="J839" s="9"/>
      <c r="K839" s="10" t="str">
        <f aca="false">IF(H839*J839=0,"",H839*J839)</f>
        <v/>
      </c>
      <c r="L839" s="11"/>
      <c r="M839" s="11"/>
      <c r="N839" s="10" t="str">
        <f aca="false">IF(L839+M839=0,"",L839+M839)</f>
        <v/>
      </c>
      <c r="O839" s="12" t="str">
        <f aca="false">IF(OR(H839="",I839="",J839=""),"",IF(F839="Long",(I839-H839)*J839*IF(G839="",1,G839),(H839-I839)*J839*IF(G839="",1,G839)))</f>
        <v/>
      </c>
      <c r="P839" s="13" t="str">
        <f aca="false">IF(O839="","",O839-IF(N839="",0,N839))</f>
        <v/>
      </c>
      <c r="Q839" s="14" t="str">
        <f aca="false">IFERROR(IF(P839="","",P839/K839),"")</f>
        <v/>
      </c>
      <c r="R839" s="6"/>
      <c r="S839" s="5"/>
      <c r="T839" s="15"/>
    </row>
    <row r="840" customFormat="false" ht="18" hidden="false" customHeight="true" outlineLevel="0" collapsed="false">
      <c r="A840" s="16" t="str">
        <f aca="false">IF(B840&lt;&gt;"",ROW()-2,"")</f>
        <v/>
      </c>
      <c r="B840" s="17"/>
      <c r="C840" s="17"/>
      <c r="D840" s="18"/>
      <c r="E840" s="19"/>
      <c r="F840" s="18"/>
      <c r="G840" s="20"/>
      <c r="H840" s="21"/>
      <c r="I840" s="21"/>
      <c r="J840" s="22"/>
      <c r="K840" s="23" t="str">
        <f aca="false">IF(H840*J840=0,"",H840*J840)</f>
        <v/>
      </c>
      <c r="L840" s="24"/>
      <c r="M840" s="24"/>
      <c r="N840" s="23" t="str">
        <f aca="false">IF(L840+M840=0,"",L840+M840)</f>
        <v/>
      </c>
      <c r="O840" s="25" t="str">
        <f aca="false">IF(OR(H840="",I840="",J840=""),"",IF(F840="Long",(I840-H840)*J840*IF(G840="",1,G840),(H840-I840)*J840*IF(G840="",1,G840)))</f>
        <v/>
      </c>
      <c r="P840" s="26" t="str">
        <f aca="false">IF(O840="","",O840-IF(N840="",0,N840))</f>
        <v/>
      </c>
      <c r="Q840" s="27" t="str">
        <f aca="false">IFERROR(IF(P840="","",P840/K840),"")</f>
        <v/>
      </c>
      <c r="R840" s="19"/>
      <c r="S840" s="18"/>
      <c r="T840" s="28"/>
    </row>
    <row r="841" customFormat="false" ht="18" hidden="false" customHeight="true" outlineLevel="0" collapsed="false">
      <c r="A841" s="3" t="str">
        <f aca="false">IF(B841&lt;&gt;"",ROW()-2,"")</f>
        <v/>
      </c>
      <c r="B841" s="4"/>
      <c r="C841" s="4"/>
      <c r="D841" s="5"/>
      <c r="E841" s="6"/>
      <c r="F841" s="5"/>
      <c r="G841" s="7"/>
      <c r="H841" s="8"/>
      <c r="I841" s="8"/>
      <c r="J841" s="9"/>
      <c r="K841" s="10" t="str">
        <f aca="false">IF(H841*J841=0,"",H841*J841)</f>
        <v/>
      </c>
      <c r="L841" s="11"/>
      <c r="M841" s="11"/>
      <c r="N841" s="10" t="str">
        <f aca="false">IF(L841+M841=0,"",L841+M841)</f>
        <v/>
      </c>
      <c r="O841" s="12" t="str">
        <f aca="false">IF(OR(H841="",I841="",J841=""),"",IF(F841="Long",(I841-H841)*J841*IF(G841="",1,G841),(H841-I841)*J841*IF(G841="",1,G841)))</f>
        <v/>
      </c>
      <c r="P841" s="13" t="str">
        <f aca="false">IF(O841="","",O841-IF(N841="",0,N841))</f>
        <v/>
      </c>
      <c r="Q841" s="14" t="str">
        <f aca="false">IFERROR(IF(P841="","",P841/K841),"")</f>
        <v/>
      </c>
      <c r="R841" s="6"/>
      <c r="S841" s="5"/>
      <c r="T841" s="15"/>
    </row>
    <row r="842" customFormat="false" ht="18" hidden="false" customHeight="true" outlineLevel="0" collapsed="false">
      <c r="A842" s="16" t="str">
        <f aca="false">IF(B842&lt;&gt;"",ROW()-2,"")</f>
        <v/>
      </c>
      <c r="B842" s="17"/>
      <c r="C842" s="17"/>
      <c r="D842" s="18"/>
      <c r="E842" s="19"/>
      <c r="F842" s="18"/>
      <c r="G842" s="20"/>
      <c r="H842" s="21"/>
      <c r="I842" s="21"/>
      <c r="J842" s="22"/>
      <c r="K842" s="23" t="str">
        <f aca="false">IF(H842*J842=0,"",H842*J842)</f>
        <v/>
      </c>
      <c r="L842" s="24"/>
      <c r="M842" s="24"/>
      <c r="N842" s="23" t="str">
        <f aca="false">IF(L842+M842=0,"",L842+M842)</f>
        <v/>
      </c>
      <c r="O842" s="25" t="str">
        <f aca="false">IF(OR(H842="",I842="",J842=""),"",IF(F842="Long",(I842-H842)*J842*IF(G842="",1,G842),(H842-I842)*J842*IF(G842="",1,G842)))</f>
        <v/>
      </c>
      <c r="P842" s="26" t="str">
        <f aca="false">IF(O842="","",O842-IF(N842="",0,N842))</f>
        <v/>
      </c>
      <c r="Q842" s="27" t="str">
        <f aca="false">IFERROR(IF(P842="","",P842/K842),"")</f>
        <v/>
      </c>
      <c r="R842" s="19"/>
      <c r="S842" s="18"/>
      <c r="T842" s="28"/>
    </row>
    <row r="843" customFormat="false" ht="18" hidden="false" customHeight="true" outlineLevel="0" collapsed="false">
      <c r="A843" s="3" t="str">
        <f aca="false">IF(B843&lt;&gt;"",ROW()-2,"")</f>
        <v/>
      </c>
      <c r="B843" s="4"/>
      <c r="C843" s="4"/>
      <c r="D843" s="5"/>
      <c r="E843" s="6"/>
      <c r="F843" s="5"/>
      <c r="G843" s="7"/>
      <c r="H843" s="8"/>
      <c r="I843" s="8"/>
      <c r="J843" s="9"/>
      <c r="K843" s="10" t="str">
        <f aca="false">IF(H843*J843=0,"",H843*J843)</f>
        <v/>
      </c>
      <c r="L843" s="11"/>
      <c r="M843" s="11"/>
      <c r="N843" s="10" t="str">
        <f aca="false">IF(L843+M843=0,"",L843+M843)</f>
        <v/>
      </c>
      <c r="O843" s="12" t="str">
        <f aca="false">IF(OR(H843="",I843="",J843=""),"",IF(F843="Long",(I843-H843)*J843*IF(G843="",1,G843),(H843-I843)*J843*IF(G843="",1,G843)))</f>
        <v/>
      </c>
      <c r="P843" s="13" t="str">
        <f aca="false">IF(O843="","",O843-IF(N843="",0,N843))</f>
        <v/>
      </c>
      <c r="Q843" s="14" t="str">
        <f aca="false">IFERROR(IF(P843="","",P843/K843),"")</f>
        <v/>
      </c>
      <c r="R843" s="6"/>
      <c r="S843" s="5"/>
      <c r="T843" s="15"/>
    </row>
    <row r="844" customFormat="false" ht="18" hidden="false" customHeight="true" outlineLevel="0" collapsed="false">
      <c r="A844" s="16" t="str">
        <f aca="false">IF(B844&lt;&gt;"",ROW()-2,"")</f>
        <v/>
      </c>
      <c r="B844" s="17"/>
      <c r="C844" s="17"/>
      <c r="D844" s="18"/>
      <c r="E844" s="19"/>
      <c r="F844" s="18"/>
      <c r="G844" s="20"/>
      <c r="H844" s="21"/>
      <c r="I844" s="21"/>
      <c r="J844" s="22"/>
      <c r="K844" s="23" t="str">
        <f aca="false">IF(H844*J844=0,"",H844*J844)</f>
        <v/>
      </c>
      <c r="L844" s="24"/>
      <c r="M844" s="24"/>
      <c r="N844" s="23" t="str">
        <f aca="false">IF(L844+M844=0,"",L844+M844)</f>
        <v/>
      </c>
      <c r="O844" s="25" t="str">
        <f aca="false">IF(OR(H844="",I844="",J844=""),"",IF(F844="Long",(I844-H844)*J844*IF(G844="",1,G844),(H844-I844)*J844*IF(G844="",1,G844)))</f>
        <v/>
      </c>
      <c r="P844" s="26" t="str">
        <f aca="false">IF(O844="","",O844-IF(N844="",0,N844))</f>
        <v/>
      </c>
      <c r="Q844" s="27" t="str">
        <f aca="false">IFERROR(IF(P844="","",P844/K844),"")</f>
        <v/>
      </c>
      <c r="R844" s="19"/>
      <c r="S844" s="18"/>
      <c r="T844" s="28"/>
    </row>
    <row r="845" customFormat="false" ht="18" hidden="false" customHeight="true" outlineLevel="0" collapsed="false">
      <c r="A845" s="3" t="str">
        <f aca="false">IF(B845&lt;&gt;"",ROW()-2,"")</f>
        <v/>
      </c>
      <c r="B845" s="4"/>
      <c r="C845" s="4"/>
      <c r="D845" s="5"/>
      <c r="E845" s="6"/>
      <c r="F845" s="5"/>
      <c r="G845" s="7"/>
      <c r="H845" s="8"/>
      <c r="I845" s="8"/>
      <c r="J845" s="9"/>
      <c r="K845" s="10" t="str">
        <f aca="false">IF(H845*J845=0,"",H845*J845)</f>
        <v/>
      </c>
      <c r="L845" s="11"/>
      <c r="M845" s="11"/>
      <c r="N845" s="10" t="str">
        <f aca="false">IF(L845+M845=0,"",L845+M845)</f>
        <v/>
      </c>
      <c r="O845" s="12" t="str">
        <f aca="false">IF(OR(H845="",I845="",J845=""),"",IF(F845="Long",(I845-H845)*J845*IF(G845="",1,G845),(H845-I845)*J845*IF(G845="",1,G845)))</f>
        <v/>
      </c>
      <c r="P845" s="13" t="str">
        <f aca="false">IF(O845="","",O845-IF(N845="",0,N845))</f>
        <v/>
      </c>
      <c r="Q845" s="14" t="str">
        <f aca="false">IFERROR(IF(P845="","",P845/K845),"")</f>
        <v/>
      </c>
      <c r="R845" s="6"/>
      <c r="S845" s="5"/>
      <c r="T845" s="15"/>
    </row>
    <row r="846" customFormat="false" ht="18" hidden="false" customHeight="true" outlineLevel="0" collapsed="false">
      <c r="A846" s="16" t="str">
        <f aca="false">IF(B846&lt;&gt;"",ROW()-2,"")</f>
        <v/>
      </c>
      <c r="B846" s="17"/>
      <c r="C846" s="17"/>
      <c r="D846" s="18"/>
      <c r="E846" s="19"/>
      <c r="F846" s="18"/>
      <c r="G846" s="20"/>
      <c r="H846" s="21"/>
      <c r="I846" s="21"/>
      <c r="J846" s="22"/>
      <c r="K846" s="23" t="str">
        <f aca="false">IF(H846*J846=0,"",H846*J846)</f>
        <v/>
      </c>
      <c r="L846" s="24"/>
      <c r="M846" s="24"/>
      <c r="N846" s="23" t="str">
        <f aca="false">IF(L846+M846=0,"",L846+M846)</f>
        <v/>
      </c>
      <c r="O846" s="25" t="str">
        <f aca="false">IF(OR(H846="",I846="",J846=""),"",IF(F846="Long",(I846-H846)*J846*IF(G846="",1,G846),(H846-I846)*J846*IF(G846="",1,G846)))</f>
        <v/>
      </c>
      <c r="P846" s="26" t="str">
        <f aca="false">IF(O846="","",O846-IF(N846="",0,N846))</f>
        <v/>
      </c>
      <c r="Q846" s="27" t="str">
        <f aca="false">IFERROR(IF(P846="","",P846/K846),"")</f>
        <v/>
      </c>
      <c r="R846" s="19"/>
      <c r="S846" s="18"/>
      <c r="T846" s="28"/>
    </row>
    <row r="847" customFormat="false" ht="18" hidden="false" customHeight="true" outlineLevel="0" collapsed="false">
      <c r="A847" s="3" t="str">
        <f aca="false">IF(B847&lt;&gt;"",ROW()-2,"")</f>
        <v/>
      </c>
      <c r="B847" s="4"/>
      <c r="C847" s="4"/>
      <c r="D847" s="5"/>
      <c r="E847" s="6"/>
      <c r="F847" s="5"/>
      <c r="G847" s="7"/>
      <c r="H847" s="8"/>
      <c r="I847" s="8"/>
      <c r="J847" s="9"/>
      <c r="K847" s="10" t="str">
        <f aca="false">IF(H847*J847=0,"",H847*J847)</f>
        <v/>
      </c>
      <c r="L847" s="11"/>
      <c r="M847" s="11"/>
      <c r="N847" s="10" t="str">
        <f aca="false">IF(L847+M847=0,"",L847+M847)</f>
        <v/>
      </c>
      <c r="O847" s="12" t="str">
        <f aca="false">IF(OR(H847="",I847="",J847=""),"",IF(F847="Long",(I847-H847)*J847*IF(G847="",1,G847),(H847-I847)*J847*IF(G847="",1,G847)))</f>
        <v/>
      </c>
      <c r="P847" s="13" t="str">
        <f aca="false">IF(O847="","",O847-IF(N847="",0,N847))</f>
        <v/>
      </c>
      <c r="Q847" s="14" t="str">
        <f aca="false">IFERROR(IF(P847="","",P847/K847),"")</f>
        <v/>
      </c>
      <c r="R847" s="6"/>
      <c r="S847" s="5"/>
      <c r="T847" s="15"/>
    </row>
    <row r="848" customFormat="false" ht="18" hidden="false" customHeight="true" outlineLevel="0" collapsed="false">
      <c r="A848" s="16" t="str">
        <f aca="false">IF(B848&lt;&gt;"",ROW()-2,"")</f>
        <v/>
      </c>
      <c r="B848" s="17"/>
      <c r="C848" s="17"/>
      <c r="D848" s="18"/>
      <c r="E848" s="19"/>
      <c r="F848" s="18"/>
      <c r="G848" s="20"/>
      <c r="H848" s="21"/>
      <c r="I848" s="21"/>
      <c r="J848" s="22"/>
      <c r="K848" s="23" t="str">
        <f aca="false">IF(H848*J848=0,"",H848*J848)</f>
        <v/>
      </c>
      <c r="L848" s="24"/>
      <c r="M848" s="24"/>
      <c r="N848" s="23" t="str">
        <f aca="false">IF(L848+M848=0,"",L848+M848)</f>
        <v/>
      </c>
      <c r="O848" s="25" t="str">
        <f aca="false">IF(OR(H848="",I848="",J848=""),"",IF(F848="Long",(I848-H848)*J848*IF(G848="",1,G848),(H848-I848)*J848*IF(G848="",1,G848)))</f>
        <v/>
      </c>
      <c r="P848" s="26" t="str">
        <f aca="false">IF(O848="","",O848-IF(N848="",0,N848))</f>
        <v/>
      </c>
      <c r="Q848" s="27" t="str">
        <f aca="false">IFERROR(IF(P848="","",P848/K848),"")</f>
        <v/>
      </c>
      <c r="R848" s="19"/>
      <c r="S848" s="18"/>
      <c r="T848" s="28"/>
    </row>
    <row r="849" customFormat="false" ht="18" hidden="false" customHeight="true" outlineLevel="0" collapsed="false">
      <c r="A849" s="3" t="str">
        <f aca="false">IF(B849&lt;&gt;"",ROW()-2,"")</f>
        <v/>
      </c>
      <c r="B849" s="4"/>
      <c r="C849" s="4"/>
      <c r="D849" s="5"/>
      <c r="E849" s="6"/>
      <c r="F849" s="5"/>
      <c r="G849" s="7"/>
      <c r="H849" s="8"/>
      <c r="I849" s="8"/>
      <c r="J849" s="9"/>
      <c r="K849" s="10" t="str">
        <f aca="false">IF(H849*J849=0,"",H849*J849)</f>
        <v/>
      </c>
      <c r="L849" s="11"/>
      <c r="M849" s="11"/>
      <c r="N849" s="10" t="str">
        <f aca="false">IF(L849+M849=0,"",L849+M849)</f>
        <v/>
      </c>
      <c r="O849" s="12" t="str">
        <f aca="false">IF(OR(H849="",I849="",J849=""),"",IF(F849="Long",(I849-H849)*J849*IF(G849="",1,G849),(H849-I849)*J849*IF(G849="",1,G849)))</f>
        <v/>
      </c>
      <c r="P849" s="13" t="str">
        <f aca="false">IF(O849="","",O849-IF(N849="",0,N849))</f>
        <v/>
      </c>
      <c r="Q849" s="14" t="str">
        <f aca="false">IFERROR(IF(P849="","",P849/K849),"")</f>
        <v/>
      </c>
      <c r="R849" s="6"/>
      <c r="S849" s="5"/>
      <c r="T849" s="15"/>
    </row>
    <row r="850" customFormat="false" ht="18" hidden="false" customHeight="true" outlineLevel="0" collapsed="false">
      <c r="A850" s="16" t="str">
        <f aca="false">IF(B850&lt;&gt;"",ROW()-2,"")</f>
        <v/>
      </c>
      <c r="B850" s="17"/>
      <c r="C850" s="17"/>
      <c r="D850" s="18"/>
      <c r="E850" s="19"/>
      <c r="F850" s="18"/>
      <c r="G850" s="20"/>
      <c r="H850" s="21"/>
      <c r="I850" s="21"/>
      <c r="J850" s="22"/>
      <c r="K850" s="23" t="str">
        <f aca="false">IF(H850*J850=0,"",H850*J850)</f>
        <v/>
      </c>
      <c r="L850" s="24"/>
      <c r="M850" s="24"/>
      <c r="N850" s="23" t="str">
        <f aca="false">IF(L850+M850=0,"",L850+M850)</f>
        <v/>
      </c>
      <c r="O850" s="25" t="str">
        <f aca="false">IF(OR(H850="",I850="",J850=""),"",IF(F850="Long",(I850-H850)*J850*IF(G850="",1,G850),(H850-I850)*J850*IF(G850="",1,G850)))</f>
        <v/>
      </c>
      <c r="P850" s="26" t="str">
        <f aca="false">IF(O850="","",O850-IF(N850="",0,N850))</f>
        <v/>
      </c>
      <c r="Q850" s="27" t="str">
        <f aca="false">IFERROR(IF(P850="","",P850/K850),"")</f>
        <v/>
      </c>
      <c r="R850" s="19"/>
      <c r="S850" s="18"/>
      <c r="T850" s="28"/>
    </row>
    <row r="851" customFormat="false" ht="18" hidden="false" customHeight="true" outlineLevel="0" collapsed="false">
      <c r="A851" s="3" t="str">
        <f aca="false">IF(B851&lt;&gt;"",ROW()-2,"")</f>
        <v/>
      </c>
      <c r="B851" s="4"/>
      <c r="C851" s="4"/>
      <c r="D851" s="5"/>
      <c r="E851" s="6"/>
      <c r="F851" s="5"/>
      <c r="G851" s="7"/>
      <c r="H851" s="8"/>
      <c r="I851" s="8"/>
      <c r="J851" s="9"/>
      <c r="K851" s="10" t="str">
        <f aca="false">IF(H851*J851=0,"",H851*J851)</f>
        <v/>
      </c>
      <c r="L851" s="11"/>
      <c r="M851" s="11"/>
      <c r="N851" s="10" t="str">
        <f aca="false">IF(L851+M851=0,"",L851+M851)</f>
        <v/>
      </c>
      <c r="O851" s="12" t="str">
        <f aca="false">IF(OR(H851="",I851="",J851=""),"",IF(F851="Long",(I851-H851)*J851*IF(G851="",1,G851),(H851-I851)*J851*IF(G851="",1,G851)))</f>
        <v/>
      </c>
      <c r="P851" s="13" t="str">
        <f aca="false">IF(O851="","",O851-IF(N851="",0,N851))</f>
        <v/>
      </c>
      <c r="Q851" s="14" t="str">
        <f aca="false">IFERROR(IF(P851="","",P851/K851),"")</f>
        <v/>
      </c>
      <c r="R851" s="6"/>
      <c r="S851" s="5"/>
      <c r="T851" s="15"/>
    </row>
    <row r="852" customFormat="false" ht="18" hidden="false" customHeight="true" outlineLevel="0" collapsed="false">
      <c r="A852" s="16" t="str">
        <f aca="false">IF(B852&lt;&gt;"",ROW()-2,"")</f>
        <v/>
      </c>
      <c r="B852" s="17"/>
      <c r="C852" s="17"/>
      <c r="D852" s="18"/>
      <c r="E852" s="19"/>
      <c r="F852" s="18"/>
      <c r="G852" s="20"/>
      <c r="H852" s="21"/>
      <c r="I852" s="21"/>
      <c r="J852" s="22"/>
      <c r="K852" s="23" t="str">
        <f aca="false">IF(H852*J852=0,"",H852*J852)</f>
        <v/>
      </c>
      <c r="L852" s="24"/>
      <c r="M852" s="24"/>
      <c r="N852" s="23" t="str">
        <f aca="false">IF(L852+M852=0,"",L852+M852)</f>
        <v/>
      </c>
      <c r="O852" s="25" t="str">
        <f aca="false">IF(OR(H852="",I852="",J852=""),"",IF(F852="Long",(I852-H852)*J852*IF(G852="",1,G852),(H852-I852)*J852*IF(G852="",1,G852)))</f>
        <v/>
      </c>
      <c r="P852" s="26" t="str">
        <f aca="false">IF(O852="","",O852-IF(N852="",0,N852))</f>
        <v/>
      </c>
      <c r="Q852" s="27" t="str">
        <f aca="false">IFERROR(IF(P852="","",P852/K852),"")</f>
        <v/>
      </c>
      <c r="R852" s="19"/>
      <c r="S852" s="18"/>
      <c r="T852" s="28"/>
    </row>
    <row r="853" customFormat="false" ht="18" hidden="false" customHeight="true" outlineLevel="0" collapsed="false">
      <c r="A853" s="3" t="str">
        <f aca="false">IF(B853&lt;&gt;"",ROW()-2,"")</f>
        <v/>
      </c>
      <c r="B853" s="4"/>
      <c r="C853" s="4"/>
      <c r="D853" s="5"/>
      <c r="E853" s="6"/>
      <c r="F853" s="5"/>
      <c r="G853" s="7"/>
      <c r="H853" s="8"/>
      <c r="I853" s="8"/>
      <c r="J853" s="9"/>
      <c r="K853" s="10" t="str">
        <f aca="false">IF(H853*J853=0,"",H853*J853)</f>
        <v/>
      </c>
      <c r="L853" s="11"/>
      <c r="M853" s="11"/>
      <c r="N853" s="10" t="str">
        <f aca="false">IF(L853+M853=0,"",L853+M853)</f>
        <v/>
      </c>
      <c r="O853" s="12" t="str">
        <f aca="false">IF(OR(H853="",I853="",J853=""),"",IF(F853="Long",(I853-H853)*J853*IF(G853="",1,G853),(H853-I853)*J853*IF(G853="",1,G853)))</f>
        <v/>
      </c>
      <c r="P853" s="13" t="str">
        <f aca="false">IF(O853="","",O853-IF(N853="",0,N853))</f>
        <v/>
      </c>
      <c r="Q853" s="14" t="str">
        <f aca="false">IFERROR(IF(P853="","",P853/K853),"")</f>
        <v/>
      </c>
      <c r="R853" s="6"/>
      <c r="S853" s="5"/>
      <c r="T853" s="15"/>
    </row>
    <row r="854" customFormat="false" ht="18" hidden="false" customHeight="true" outlineLevel="0" collapsed="false">
      <c r="A854" s="16" t="str">
        <f aca="false">IF(B854&lt;&gt;"",ROW()-2,"")</f>
        <v/>
      </c>
      <c r="B854" s="17"/>
      <c r="C854" s="17"/>
      <c r="D854" s="18"/>
      <c r="E854" s="19"/>
      <c r="F854" s="18"/>
      <c r="G854" s="20"/>
      <c r="H854" s="21"/>
      <c r="I854" s="21"/>
      <c r="J854" s="22"/>
      <c r="K854" s="23" t="str">
        <f aca="false">IF(H854*J854=0,"",H854*J854)</f>
        <v/>
      </c>
      <c r="L854" s="24"/>
      <c r="M854" s="24"/>
      <c r="N854" s="23" t="str">
        <f aca="false">IF(L854+M854=0,"",L854+M854)</f>
        <v/>
      </c>
      <c r="O854" s="25" t="str">
        <f aca="false">IF(OR(H854="",I854="",J854=""),"",IF(F854="Long",(I854-H854)*J854*IF(G854="",1,G854),(H854-I854)*J854*IF(G854="",1,G854)))</f>
        <v/>
      </c>
      <c r="P854" s="26" t="str">
        <f aca="false">IF(O854="","",O854-IF(N854="",0,N854))</f>
        <v/>
      </c>
      <c r="Q854" s="27" t="str">
        <f aca="false">IFERROR(IF(P854="","",P854/K854),"")</f>
        <v/>
      </c>
      <c r="R854" s="19"/>
      <c r="S854" s="18"/>
      <c r="T854" s="28"/>
    </row>
    <row r="855" customFormat="false" ht="18" hidden="false" customHeight="true" outlineLevel="0" collapsed="false">
      <c r="A855" s="3" t="str">
        <f aca="false">IF(B855&lt;&gt;"",ROW()-2,"")</f>
        <v/>
      </c>
      <c r="B855" s="4"/>
      <c r="C855" s="4"/>
      <c r="D855" s="5"/>
      <c r="E855" s="6"/>
      <c r="F855" s="5"/>
      <c r="G855" s="7"/>
      <c r="H855" s="8"/>
      <c r="I855" s="8"/>
      <c r="J855" s="9"/>
      <c r="K855" s="10" t="str">
        <f aca="false">IF(H855*J855=0,"",H855*J855)</f>
        <v/>
      </c>
      <c r="L855" s="11"/>
      <c r="M855" s="11"/>
      <c r="N855" s="10" t="str">
        <f aca="false">IF(L855+M855=0,"",L855+M855)</f>
        <v/>
      </c>
      <c r="O855" s="12" t="str">
        <f aca="false">IF(OR(H855="",I855="",J855=""),"",IF(F855="Long",(I855-H855)*J855*IF(G855="",1,G855),(H855-I855)*J855*IF(G855="",1,G855)))</f>
        <v/>
      </c>
      <c r="P855" s="13" t="str">
        <f aca="false">IF(O855="","",O855-IF(N855="",0,N855))</f>
        <v/>
      </c>
      <c r="Q855" s="14" t="str">
        <f aca="false">IFERROR(IF(P855="","",P855/K855),"")</f>
        <v/>
      </c>
      <c r="R855" s="6"/>
      <c r="S855" s="5"/>
      <c r="T855" s="15"/>
    </row>
    <row r="856" customFormat="false" ht="18" hidden="false" customHeight="true" outlineLevel="0" collapsed="false">
      <c r="A856" s="16" t="str">
        <f aca="false">IF(B856&lt;&gt;"",ROW()-2,"")</f>
        <v/>
      </c>
      <c r="B856" s="17"/>
      <c r="C856" s="17"/>
      <c r="D856" s="18"/>
      <c r="E856" s="19"/>
      <c r="F856" s="18"/>
      <c r="G856" s="20"/>
      <c r="H856" s="21"/>
      <c r="I856" s="21"/>
      <c r="J856" s="22"/>
      <c r="K856" s="23" t="str">
        <f aca="false">IF(H856*J856=0,"",H856*J856)</f>
        <v/>
      </c>
      <c r="L856" s="24"/>
      <c r="M856" s="24"/>
      <c r="N856" s="23" t="str">
        <f aca="false">IF(L856+M856=0,"",L856+M856)</f>
        <v/>
      </c>
      <c r="O856" s="25" t="str">
        <f aca="false">IF(OR(H856="",I856="",J856=""),"",IF(F856="Long",(I856-H856)*J856*IF(G856="",1,G856),(H856-I856)*J856*IF(G856="",1,G856)))</f>
        <v/>
      </c>
      <c r="P856" s="26" t="str">
        <f aca="false">IF(O856="","",O856-IF(N856="",0,N856))</f>
        <v/>
      </c>
      <c r="Q856" s="27" t="str">
        <f aca="false">IFERROR(IF(P856="","",P856/K856),"")</f>
        <v/>
      </c>
      <c r="R856" s="19"/>
      <c r="S856" s="18"/>
      <c r="T856" s="28"/>
    </row>
    <row r="857" customFormat="false" ht="18" hidden="false" customHeight="true" outlineLevel="0" collapsed="false">
      <c r="A857" s="3" t="str">
        <f aca="false">IF(B857&lt;&gt;"",ROW()-2,"")</f>
        <v/>
      </c>
      <c r="B857" s="4"/>
      <c r="C857" s="4"/>
      <c r="D857" s="5"/>
      <c r="E857" s="6"/>
      <c r="F857" s="5"/>
      <c r="G857" s="7"/>
      <c r="H857" s="8"/>
      <c r="I857" s="8"/>
      <c r="J857" s="9"/>
      <c r="K857" s="10" t="str">
        <f aca="false">IF(H857*J857=0,"",H857*J857)</f>
        <v/>
      </c>
      <c r="L857" s="11"/>
      <c r="M857" s="11"/>
      <c r="N857" s="10" t="str">
        <f aca="false">IF(L857+M857=0,"",L857+M857)</f>
        <v/>
      </c>
      <c r="O857" s="12" t="str">
        <f aca="false">IF(OR(H857="",I857="",J857=""),"",IF(F857="Long",(I857-H857)*J857*IF(G857="",1,G857),(H857-I857)*J857*IF(G857="",1,G857)))</f>
        <v/>
      </c>
      <c r="P857" s="13" t="str">
        <f aca="false">IF(O857="","",O857-IF(N857="",0,N857))</f>
        <v/>
      </c>
      <c r="Q857" s="14" t="str">
        <f aca="false">IFERROR(IF(P857="","",P857/K857),"")</f>
        <v/>
      </c>
      <c r="R857" s="6"/>
      <c r="S857" s="5"/>
      <c r="T857" s="15"/>
    </row>
    <row r="858" customFormat="false" ht="18" hidden="false" customHeight="true" outlineLevel="0" collapsed="false">
      <c r="A858" s="16" t="str">
        <f aca="false">IF(B858&lt;&gt;"",ROW()-2,"")</f>
        <v/>
      </c>
      <c r="B858" s="17"/>
      <c r="C858" s="17"/>
      <c r="D858" s="18"/>
      <c r="E858" s="19"/>
      <c r="F858" s="18"/>
      <c r="G858" s="20"/>
      <c r="H858" s="21"/>
      <c r="I858" s="21"/>
      <c r="J858" s="22"/>
      <c r="K858" s="23" t="str">
        <f aca="false">IF(H858*J858=0,"",H858*J858)</f>
        <v/>
      </c>
      <c r="L858" s="24"/>
      <c r="M858" s="24"/>
      <c r="N858" s="23" t="str">
        <f aca="false">IF(L858+M858=0,"",L858+M858)</f>
        <v/>
      </c>
      <c r="O858" s="25" t="str">
        <f aca="false">IF(OR(H858="",I858="",J858=""),"",IF(F858="Long",(I858-H858)*J858*IF(G858="",1,G858),(H858-I858)*J858*IF(G858="",1,G858)))</f>
        <v/>
      </c>
      <c r="P858" s="26" t="str">
        <f aca="false">IF(O858="","",O858-IF(N858="",0,N858))</f>
        <v/>
      </c>
      <c r="Q858" s="27" t="str">
        <f aca="false">IFERROR(IF(P858="","",P858/K858),"")</f>
        <v/>
      </c>
      <c r="R858" s="19"/>
      <c r="S858" s="18"/>
      <c r="T858" s="28"/>
    </row>
    <row r="859" customFormat="false" ht="18" hidden="false" customHeight="true" outlineLevel="0" collapsed="false">
      <c r="A859" s="3" t="str">
        <f aca="false">IF(B859&lt;&gt;"",ROW()-2,"")</f>
        <v/>
      </c>
      <c r="B859" s="4"/>
      <c r="C859" s="4"/>
      <c r="D859" s="5"/>
      <c r="E859" s="6"/>
      <c r="F859" s="5"/>
      <c r="G859" s="7"/>
      <c r="H859" s="8"/>
      <c r="I859" s="8"/>
      <c r="J859" s="9"/>
      <c r="K859" s="10" t="str">
        <f aca="false">IF(H859*J859=0,"",H859*J859)</f>
        <v/>
      </c>
      <c r="L859" s="11"/>
      <c r="M859" s="11"/>
      <c r="N859" s="10" t="str">
        <f aca="false">IF(L859+M859=0,"",L859+M859)</f>
        <v/>
      </c>
      <c r="O859" s="12" t="str">
        <f aca="false">IF(OR(H859="",I859="",J859=""),"",IF(F859="Long",(I859-H859)*J859*IF(G859="",1,G859),(H859-I859)*J859*IF(G859="",1,G859)))</f>
        <v/>
      </c>
      <c r="P859" s="13" t="str">
        <f aca="false">IF(O859="","",O859-IF(N859="",0,N859))</f>
        <v/>
      </c>
      <c r="Q859" s="14" t="str">
        <f aca="false">IFERROR(IF(P859="","",P859/K859),"")</f>
        <v/>
      </c>
      <c r="R859" s="6"/>
      <c r="S859" s="5"/>
      <c r="T859" s="15"/>
    </row>
    <row r="860" customFormat="false" ht="18" hidden="false" customHeight="true" outlineLevel="0" collapsed="false">
      <c r="A860" s="16" t="str">
        <f aca="false">IF(B860&lt;&gt;"",ROW()-2,"")</f>
        <v/>
      </c>
      <c r="B860" s="17"/>
      <c r="C860" s="17"/>
      <c r="D860" s="18"/>
      <c r="E860" s="19"/>
      <c r="F860" s="18"/>
      <c r="G860" s="20"/>
      <c r="H860" s="21"/>
      <c r="I860" s="21"/>
      <c r="J860" s="22"/>
      <c r="K860" s="23" t="str">
        <f aca="false">IF(H860*J860=0,"",H860*J860)</f>
        <v/>
      </c>
      <c r="L860" s="24"/>
      <c r="M860" s="24"/>
      <c r="N860" s="23" t="str">
        <f aca="false">IF(L860+M860=0,"",L860+M860)</f>
        <v/>
      </c>
      <c r="O860" s="25" t="str">
        <f aca="false">IF(OR(H860="",I860="",J860=""),"",IF(F860="Long",(I860-H860)*J860*IF(G860="",1,G860),(H860-I860)*J860*IF(G860="",1,G860)))</f>
        <v/>
      </c>
      <c r="P860" s="26" t="str">
        <f aca="false">IF(O860="","",O860-IF(N860="",0,N860))</f>
        <v/>
      </c>
      <c r="Q860" s="27" t="str">
        <f aca="false">IFERROR(IF(P860="","",P860/K860),"")</f>
        <v/>
      </c>
      <c r="R860" s="19"/>
      <c r="S860" s="18"/>
      <c r="T860" s="28"/>
    </row>
    <row r="861" customFormat="false" ht="18" hidden="false" customHeight="true" outlineLevel="0" collapsed="false">
      <c r="A861" s="3" t="str">
        <f aca="false">IF(B861&lt;&gt;"",ROW()-2,"")</f>
        <v/>
      </c>
      <c r="B861" s="4"/>
      <c r="C861" s="4"/>
      <c r="D861" s="5"/>
      <c r="E861" s="6"/>
      <c r="F861" s="5"/>
      <c r="G861" s="7"/>
      <c r="H861" s="8"/>
      <c r="I861" s="8"/>
      <c r="J861" s="9"/>
      <c r="K861" s="10" t="str">
        <f aca="false">IF(H861*J861=0,"",H861*J861)</f>
        <v/>
      </c>
      <c r="L861" s="11"/>
      <c r="M861" s="11"/>
      <c r="N861" s="10" t="str">
        <f aca="false">IF(L861+M861=0,"",L861+M861)</f>
        <v/>
      </c>
      <c r="O861" s="12" t="str">
        <f aca="false">IF(OR(H861="",I861="",J861=""),"",IF(F861="Long",(I861-H861)*J861*IF(G861="",1,G861),(H861-I861)*J861*IF(G861="",1,G861)))</f>
        <v/>
      </c>
      <c r="P861" s="13" t="str">
        <f aca="false">IF(O861="","",O861-IF(N861="",0,N861))</f>
        <v/>
      </c>
      <c r="Q861" s="14" t="str">
        <f aca="false">IFERROR(IF(P861="","",P861/K861),"")</f>
        <v/>
      </c>
      <c r="R861" s="6"/>
      <c r="S861" s="5"/>
      <c r="T861" s="15"/>
    </row>
    <row r="862" customFormat="false" ht="18" hidden="false" customHeight="true" outlineLevel="0" collapsed="false">
      <c r="A862" s="16" t="str">
        <f aca="false">IF(B862&lt;&gt;"",ROW()-2,"")</f>
        <v/>
      </c>
      <c r="B862" s="17"/>
      <c r="C862" s="17"/>
      <c r="D862" s="18"/>
      <c r="E862" s="19"/>
      <c r="F862" s="18"/>
      <c r="G862" s="20"/>
      <c r="H862" s="21"/>
      <c r="I862" s="21"/>
      <c r="J862" s="22"/>
      <c r="K862" s="23" t="str">
        <f aca="false">IF(H862*J862=0,"",H862*J862)</f>
        <v/>
      </c>
      <c r="L862" s="24"/>
      <c r="M862" s="24"/>
      <c r="N862" s="23" t="str">
        <f aca="false">IF(L862+M862=0,"",L862+M862)</f>
        <v/>
      </c>
      <c r="O862" s="25" t="str">
        <f aca="false">IF(OR(H862="",I862="",J862=""),"",IF(F862="Long",(I862-H862)*J862*IF(G862="",1,G862),(H862-I862)*J862*IF(G862="",1,G862)))</f>
        <v/>
      </c>
      <c r="P862" s="26" t="str">
        <f aca="false">IF(O862="","",O862-IF(N862="",0,N862))</f>
        <v/>
      </c>
      <c r="Q862" s="27" t="str">
        <f aca="false">IFERROR(IF(P862="","",P862/K862),"")</f>
        <v/>
      </c>
      <c r="R862" s="19"/>
      <c r="S862" s="18"/>
      <c r="T862" s="28"/>
    </row>
    <row r="863" customFormat="false" ht="18" hidden="false" customHeight="true" outlineLevel="0" collapsed="false">
      <c r="A863" s="3" t="str">
        <f aca="false">IF(B863&lt;&gt;"",ROW()-2,"")</f>
        <v/>
      </c>
      <c r="B863" s="4"/>
      <c r="C863" s="4"/>
      <c r="D863" s="5"/>
      <c r="E863" s="6"/>
      <c r="F863" s="5"/>
      <c r="G863" s="7"/>
      <c r="H863" s="8"/>
      <c r="I863" s="8"/>
      <c r="J863" s="9"/>
      <c r="K863" s="10" t="str">
        <f aca="false">IF(H863*J863=0,"",H863*J863)</f>
        <v/>
      </c>
      <c r="L863" s="11"/>
      <c r="M863" s="11"/>
      <c r="N863" s="10" t="str">
        <f aca="false">IF(L863+M863=0,"",L863+M863)</f>
        <v/>
      </c>
      <c r="O863" s="12" t="str">
        <f aca="false">IF(OR(H863="",I863="",J863=""),"",IF(F863="Long",(I863-H863)*J863*IF(G863="",1,G863),(H863-I863)*J863*IF(G863="",1,G863)))</f>
        <v/>
      </c>
      <c r="P863" s="13" t="str">
        <f aca="false">IF(O863="","",O863-IF(N863="",0,N863))</f>
        <v/>
      </c>
      <c r="Q863" s="14" t="str">
        <f aca="false">IFERROR(IF(P863="","",P863/K863),"")</f>
        <v/>
      </c>
      <c r="R863" s="6"/>
      <c r="S863" s="5"/>
      <c r="T863" s="15"/>
    </row>
    <row r="864" customFormat="false" ht="18" hidden="false" customHeight="true" outlineLevel="0" collapsed="false">
      <c r="A864" s="16" t="str">
        <f aca="false">IF(B864&lt;&gt;"",ROW()-2,"")</f>
        <v/>
      </c>
      <c r="B864" s="17"/>
      <c r="C864" s="17"/>
      <c r="D864" s="18"/>
      <c r="E864" s="19"/>
      <c r="F864" s="18"/>
      <c r="G864" s="20"/>
      <c r="H864" s="21"/>
      <c r="I864" s="21"/>
      <c r="J864" s="22"/>
      <c r="K864" s="23" t="str">
        <f aca="false">IF(H864*J864=0,"",H864*J864)</f>
        <v/>
      </c>
      <c r="L864" s="24"/>
      <c r="M864" s="24"/>
      <c r="N864" s="23" t="str">
        <f aca="false">IF(L864+M864=0,"",L864+M864)</f>
        <v/>
      </c>
      <c r="O864" s="25" t="str">
        <f aca="false">IF(OR(H864="",I864="",J864=""),"",IF(F864="Long",(I864-H864)*J864*IF(G864="",1,G864),(H864-I864)*J864*IF(G864="",1,G864)))</f>
        <v/>
      </c>
      <c r="P864" s="26" t="str">
        <f aca="false">IF(O864="","",O864-IF(N864="",0,N864))</f>
        <v/>
      </c>
      <c r="Q864" s="27" t="str">
        <f aca="false">IFERROR(IF(P864="","",P864/K864),"")</f>
        <v/>
      </c>
      <c r="R864" s="19"/>
      <c r="S864" s="18"/>
      <c r="T864" s="28"/>
    </row>
    <row r="865" customFormat="false" ht="18" hidden="false" customHeight="true" outlineLevel="0" collapsed="false">
      <c r="A865" s="3" t="str">
        <f aca="false">IF(B865&lt;&gt;"",ROW()-2,"")</f>
        <v/>
      </c>
      <c r="B865" s="4"/>
      <c r="C865" s="4"/>
      <c r="D865" s="5"/>
      <c r="E865" s="6"/>
      <c r="F865" s="5"/>
      <c r="G865" s="7"/>
      <c r="H865" s="8"/>
      <c r="I865" s="8"/>
      <c r="J865" s="9"/>
      <c r="K865" s="10" t="str">
        <f aca="false">IF(H865*J865=0,"",H865*J865)</f>
        <v/>
      </c>
      <c r="L865" s="11"/>
      <c r="M865" s="11"/>
      <c r="N865" s="10" t="str">
        <f aca="false">IF(L865+M865=0,"",L865+M865)</f>
        <v/>
      </c>
      <c r="O865" s="12" t="str">
        <f aca="false">IF(OR(H865="",I865="",J865=""),"",IF(F865="Long",(I865-H865)*J865*IF(G865="",1,G865),(H865-I865)*J865*IF(G865="",1,G865)))</f>
        <v/>
      </c>
      <c r="P865" s="13" t="str">
        <f aca="false">IF(O865="","",O865-IF(N865="",0,N865))</f>
        <v/>
      </c>
      <c r="Q865" s="14" t="str">
        <f aca="false">IFERROR(IF(P865="","",P865/K865),"")</f>
        <v/>
      </c>
      <c r="R865" s="6"/>
      <c r="S865" s="5"/>
      <c r="T865" s="15"/>
    </row>
    <row r="866" customFormat="false" ht="18" hidden="false" customHeight="true" outlineLevel="0" collapsed="false">
      <c r="A866" s="16" t="str">
        <f aca="false">IF(B866&lt;&gt;"",ROW()-2,"")</f>
        <v/>
      </c>
      <c r="B866" s="17"/>
      <c r="C866" s="17"/>
      <c r="D866" s="18"/>
      <c r="E866" s="19"/>
      <c r="F866" s="18"/>
      <c r="G866" s="20"/>
      <c r="H866" s="21"/>
      <c r="I866" s="21"/>
      <c r="J866" s="22"/>
      <c r="K866" s="23" t="str">
        <f aca="false">IF(H866*J866=0,"",H866*J866)</f>
        <v/>
      </c>
      <c r="L866" s="24"/>
      <c r="M866" s="24"/>
      <c r="N866" s="23" t="str">
        <f aca="false">IF(L866+M866=0,"",L866+M866)</f>
        <v/>
      </c>
      <c r="O866" s="25" t="str">
        <f aca="false">IF(OR(H866="",I866="",J866=""),"",IF(F866="Long",(I866-H866)*J866*IF(G866="",1,G866),(H866-I866)*J866*IF(G866="",1,G866)))</f>
        <v/>
      </c>
      <c r="P866" s="26" t="str">
        <f aca="false">IF(O866="","",O866-IF(N866="",0,N866))</f>
        <v/>
      </c>
      <c r="Q866" s="27" t="str">
        <f aca="false">IFERROR(IF(P866="","",P866/K866),"")</f>
        <v/>
      </c>
      <c r="R866" s="19"/>
      <c r="S866" s="18"/>
      <c r="T866" s="28"/>
    </row>
    <row r="867" customFormat="false" ht="18" hidden="false" customHeight="true" outlineLevel="0" collapsed="false">
      <c r="A867" s="3" t="str">
        <f aca="false">IF(B867&lt;&gt;"",ROW()-2,"")</f>
        <v/>
      </c>
      <c r="B867" s="4"/>
      <c r="C867" s="4"/>
      <c r="D867" s="5"/>
      <c r="E867" s="6"/>
      <c r="F867" s="5"/>
      <c r="G867" s="7"/>
      <c r="H867" s="8"/>
      <c r="I867" s="8"/>
      <c r="J867" s="9"/>
      <c r="K867" s="10" t="str">
        <f aca="false">IF(H867*J867=0,"",H867*J867)</f>
        <v/>
      </c>
      <c r="L867" s="11"/>
      <c r="M867" s="11"/>
      <c r="N867" s="10" t="str">
        <f aca="false">IF(L867+M867=0,"",L867+M867)</f>
        <v/>
      </c>
      <c r="O867" s="12" t="str">
        <f aca="false">IF(OR(H867="",I867="",J867=""),"",IF(F867="Long",(I867-H867)*J867*IF(G867="",1,G867),(H867-I867)*J867*IF(G867="",1,G867)))</f>
        <v/>
      </c>
      <c r="P867" s="13" t="str">
        <f aca="false">IF(O867="","",O867-IF(N867="",0,N867))</f>
        <v/>
      </c>
      <c r="Q867" s="14" t="str">
        <f aca="false">IFERROR(IF(P867="","",P867/K867),"")</f>
        <v/>
      </c>
      <c r="R867" s="6"/>
      <c r="S867" s="5"/>
      <c r="T867" s="15"/>
    </row>
    <row r="868" customFormat="false" ht="18" hidden="false" customHeight="true" outlineLevel="0" collapsed="false">
      <c r="A868" s="16" t="str">
        <f aca="false">IF(B868&lt;&gt;"",ROW()-2,"")</f>
        <v/>
      </c>
      <c r="B868" s="17"/>
      <c r="C868" s="17"/>
      <c r="D868" s="18"/>
      <c r="E868" s="19"/>
      <c r="F868" s="18"/>
      <c r="G868" s="20"/>
      <c r="H868" s="21"/>
      <c r="I868" s="21"/>
      <c r="J868" s="22"/>
      <c r="K868" s="23" t="str">
        <f aca="false">IF(H868*J868=0,"",H868*J868)</f>
        <v/>
      </c>
      <c r="L868" s="24"/>
      <c r="M868" s="24"/>
      <c r="N868" s="23" t="str">
        <f aca="false">IF(L868+M868=0,"",L868+M868)</f>
        <v/>
      </c>
      <c r="O868" s="25" t="str">
        <f aca="false">IF(OR(H868="",I868="",J868=""),"",IF(F868="Long",(I868-H868)*J868*IF(G868="",1,G868),(H868-I868)*J868*IF(G868="",1,G868)))</f>
        <v/>
      </c>
      <c r="P868" s="26" t="str">
        <f aca="false">IF(O868="","",O868-IF(N868="",0,N868))</f>
        <v/>
      </c>
      <c r="Q868" s="27" t="str">
        <f aca="false">IFERROR(IF(P868="","",P868/K868),"")</f>
        <v/>
      </c>
      <c r="R868" s="19"/>
      <c r="S868" s="18"/>
      <c r="T868" s="28"/>
    </row>
    <row r="869" customFormat="false" ht="18" hidden="false" customHeight="true" outlineLevel="0" collapsed="false">
      <c r="A869" s="3" t="str">
        <f aca="false">IF(B869&lt;&gt;"",ROW()-2,"")</f>
        <v/>
      </c>
      <c r="B869" s="4"/>
      <c r="C869" s="4"/>
      <c r="D869" s="5"/>
      <c r="E869" s="6"/>
      <c r="F869" s="5"/>
      <c r="G869" s="7"/>
      <c r="H869" s="8"/>
      <c r="I869" s="8"/>
      <c r="J869" s="9"/>
      <c r="K869" s="10" t="str">
        <f aca="false">IF(H869*J869=0,"",H869*J869)</f>
        <v/>
      </c>
      <c r="L869" s="11"/>
      <c r="M869" s="11"/>
      <c r="N869" s="10" t="str">
        <f aca="false">IF(L869+M869=0,"",L869+M869)</f>
        <v/>
      </c>
      <c r="O869" s="12" t="str">
        <f aca="false">IF(OR(H869="",I869="",J869=""),"",IF(F869="Long",(I869-H869)*J869*IF(G869="",1,G869),(H869-I869)*J869*IF(G869="",1,G869)))</f>
        <v/>
      </c>
      <c r="P869" s="13" t="str">
        <f aca="false">IF(O869="","",O869-IF(N869="",0,N869))</f>
        <v/>
      </c>
      <c r="Q869" s="14" t="str">
        <f aca="false">IFERROR(IF(P869="","",P869/K869),"")</f>
        <v/>
      </c>
      <c r="R869" s="6"/>
      <c r="S869" s="5"/>
      <c r="T869" s="15"/>
    </row>
    <row r="870" customFormat="false" ht="18" hidden="false" customHeight="true" outlineLevel="0" collapsed="false">
      <c r="A870" s="16" t="str">
        <f aca="false">IF(B870&lt;&gt;"",ROW()-2,"")</f>
        <v/>
      </c>
      <c r="B870" s="17"/>
      <c r="C870" s="17"/>
      <c r="D870" s="18"/>
      <c r="E870" s="19"/>
      <c r="F870" s="18"/>
      <c r="G870" s="20"/>
      <c r="H870" s="21"/>
      <c r="I870" s="21"/>
      <c r="J870" s="22"/>
      <c r="K870" s="23" t="str">
        <f aca="false">IF(H870*J870=0,"",H870*J870)</f>
        <v/>
      </c>
      <c r="L870" s="24"/>
      <c r="M870" s="24"/>
      <c r="N870" s="23" t="str">
        <f aca="false">IF(L870+M870=0,"",L870+M870)</f>
        <v/>
      </c>
      <c r="O870" s="25" t="str">
        <f aca="false">IF(OR(H870="",I870="",J870=""),"",IF(F870="Long",(I870-H870)*J870*IF(G870="",1,G870),(H870-I870)*J870*IF(G870="",1,G870)))</f>
        <v/>
      </c>
      <c r="P870" s="26" t="str">
        <f aca="false">IF(O870="","",O870-IF(N870="",0,N870))</f>
        <v/>
      </c>
      <c r="Q870" s="27" t="str">
        <f aca="false">IFERROR(IF(P870="","",P870/K870),"")</f>
        <v/>
      </c>
      <c r="R870" s="19"/>
      <c r="S870" s="18"/>
      <c r="T870" s="28"/>
    </row>
    <row r="871" customFormat="false" ht="18" hidden="false" customHeight="true" outlineLevel="0" collapsed="false">
      <c r="A871" s="3" t="str">
        <f aca="false">IF(B871&lt;&gt;"",ROW()-2,"")</f>
        <v/>
      </c>
      <c r="B871" s="4"/>
      <c r="C871" s="4"/>
      <c r="D871" s="5"/>
      <c r="E871" s="6"/>
      <c r="F871" s="5"/>
      <c r="G871" s="7"/>
      <c r="H871" s="8"/>
      <c r="I871" s="8"/>
      <c r="J871" s="9"/>
      <c r="K871" s="10" t="str">
        <f aca="false">IF(H871*J871=0,"",H871*J871)</f>
        <v/>
      </c>
      <c r="L871" s="11"/>
      <c r="M871" s="11"/>
      <c r="N871" s="10" t="str">
        <f aca="false">IF(L871+M871=0,"",L871+M871)</f>
        <v/>
      </c>
      <c r="O871" s="12" t="str">
        <f aca="false">IF(OR(H871="",I871="",J871=""),"",IF(F871="Long",(I871-H871)*J871*IF(G871="",1,G871),(H871-I871)*J871*IF(G871="",1,G871)))</f>
        <v/>
      </c>
      <c r="P871" s="13" t="str">
        <f aca="false">IF(O871="","",O871-IF(N871="",0,N871))</f>
        <v/>
      </c>
      <c r="Q871" s="14" t="str">
        <f aca="false">IFERROR(IF(P871="","",P871/K871),"")</f>
        <v/>
      </c>
      <c r="R871" s="6"/>
      <c r="S871" s="5"/>
      <c r="T871" s="15"/>
    </row>
    <row r="872" customFormat="false" ht="18" hidden="false" customHeight="true" outlineLevel="0" collapsed="false">
      <c r="A872" s="16" t="str">
        <f aca="false">IF(B872&lt;&gt;"",ROW()-2,"")</f>
        <v/>
      </c>
      <c r="B872" s="17"/>
      <c r="C872" s="17"/>
      <c r="D872" s="18"/>
      <c r="E872" s="19"/>
      <c r="F872" s="18"/>
      <c r="G872" s="20"/>
      <c r="H872" s="21"/>
      <c r="I872" s="21"/>
      <c r="J872" s="22"/>
      <c r="K872" s="23" t="str">
        <f aca="false">IF(H872*J872=0,"",H872*J872)</f>
        <v/>
      </c>
      <c r="L872" s="24"/>
      <c r="M872" s="24"/>
      <c r="N872" s="23" t="str">
        <f aca="false">IF(L872+M872=0,"",L872+M872)</f>
        <v/>
      </c>
      <c r="O872" s="25" t="str">
        <f aca="false">IF(OR(H872="",I872="",J872=""),"",IF(F872="Long",(I872-H872)*J872*IF(G872="",1,G872),(H872-I872)*J872*IF(G872="",1,G872)))</f>
        <v/>
      </c>
      <c r="P872" s="26" t="str">
        <f aca="false">IF(O872="","",O872-IF(N872="",0,N872))</f>
        <v/>
      </c>
      <c r="Q872" s="27" t="str">
        <f aca="false">IFERROR(IF(P872="","",P872/K872),"")</f>
        <v/>
      </c>
      <c r="R872" s="19"/>
      <c r="S872" s="18"/>
      <c r="T872" s="28"/>
    </row>
    <row r="873" customFormat="false" ht="18" hidden="false" customHeight="true" outlineLevel="0" collapsed="false">
      <c r="A873" s="3" t="str">
        <f aca="false">IF(B873&lt;&gt;"",ROW()-2,"")</f>
        <v/>
      </c>
      <c r="B873" s="4"/>
      <c r="C873" s="4"/>
      <c r="D873" s="5"/>
      <c r="E873" s="6"/>
      <c r="F873" s="5"/>
      <c r="G873" s="7"/>
      <c r="H873" s="8"/>
      <c r="I873" s="8"/>
      <c r="J873" s="9"/>
      <c r="K873" s="10" t="str">
        <f aca="false">IF(H873*J873=0,"",H873*J873)</f>
        <v/>
      </c>
      <c r="L873" s="11"/>
      <c r="M873" s="11"/>
      <c r="N873" s="10" t="str">
        <f aca="false">IF(L873+M873=0,"",L873+M873)</f>
        <v/>
      </c>
      <c r="O873" s="12" t="str">
        <f aca="false">IF(OR(H873="",I873="",J873=""),"",IF(F873="Long",(I873-H873)*J873*IF(G873="",1,G873),(H873-I873)*J873*IF(G873="",1,G873)))</f>
        <v/>
      </c>
      <c r="P873" s="13" t="str">
        <f aca="false">IF(O873="","",O873-IF(N873="",0,N873))</f>
        <v/>
      </c>
      <c r="Q873" s="14" t="str">
        <f aca="false">IFERROR(IF(P873="","",P873/K873),"")</f>
        <v/>
      </c>
      <c r="R873" s="6"/>
      <c r="S873" s="5"/>
      <c r="T873" s="15"/>
    </row>
    <row r="874" customFormat="false" ht="18" hidden="false" customHeight="true" outlineLevel="0" collapsed="false">
      <c r="A874" s="16" t="str">
        <f aca="false">IF(B874&lt;&gt;"",ROW()-2,"")</f>
        <v/>
      </c>
      <c r="B874" s="17"/>
      <c r="C874" s="17"/>
      <c r="D874" s="18"/>
      <c r="E874" s="19"/>
      <c r="F874" s="18"/>
      <c r="G874" s="20"/>
      <c r="H874" s="21"/>
      <c r="I874" s="21"/>
      <c r="J874" s="22"/>
      <c r="K874" s="23" t="str">
        <f aca="false">IF(H874*J874=0,"",H874*J874)</f>
        <v/>
      </c>
      <c r="L874" s="24"/>
      <c r="M874" s="24"/>
      <c r="N874" s="23" t="str">
        <f aca="false">IF(L874+M874=0,"",L874+M874)</f>
        <v/>
      </c>
      <c r="O874" s="25" t="str">
        <f aca="false">IF(OR(H874="",I874="",J874=""),"",IF(F874="Long",(I874-H874)*J874*IF(G874="",1,G874),(H874-I874)*J874*IF(G874="",1,G874)))</f>
        <v/>
      </c>
      <c r="P874" s="26" t="str">
        <f aca="false">IF(O874="","",O874-IF(N874="",0,N874))</f>
        <v/>
      </c>
      <c r="Q874" s="27" t="str">
        <f aca="false">IFERROR(IF(P874="","",P874/K874),"")</f>
        <v/>
      </c>
      <c r="R874" s="19"/>
      <c r="S874" s="18"/>
      <c r="T874" s="28"/>
    </row>
    <row r="875" customFormat="false" ht="18" hidden="false" customHeight="true" outlineLevel="0" collapsed="false">
      <c r="A875" s="3" t="str">
        <f aca="false">IF(B875&lt;&gt;"",ROW()-2,"")</f>
        <v/>
      </c>
      <c r="B875" s="4"/>
      <c r="C875" s="4"/>
      <c r="D875" s="5"/>
      <c r="E875" s="6"/>
      <c r="F875" s="5"/>
      <c r="G875" s="7"/>
      <c r="H875" s="8"/>
      <c r="I875" s="8"/>
      <c r="J875" s="9"/>
      <c r="K875" s="10" t="str">
        <f aca="false">IF(H875*J875=0,"",H875*J875)</f>
        <v/>
      </c>
      <c r="L875" s="11"/>
      <c r="M875" s="11"/>
      <c r="N875" s="10" t="str">
        <f aca="false">IF(L875+M875=0,"",L875+M875)</f>
        <v/>
      </c>
      <c r="O875" s="12" t="str">
        <f aca="false">IF(OR(H875="",I875="",J875=""),"",IF(F875="Long",(I875-H875)*J875*IF(G875="",1,G875),(H875-I875)*J875*IF(G875="",1,G875)))</f>
        <v/>
      </c>
      <c r="P875" s="13" t="str">
        <f aca="false">IF(O875="","",O875-IF(N875="",0,N875))</f>
        <v/>
      </c>
      <c r="Q875" s="14" t="str">
        <f aca="false">IFERROR(IF(P875="","",P875/K875),"")</f>
        <v/>
      </c>
      <c r="R875" s="6"/>
      <c r="S875" s="5"/>
      <c r="T875" s="15"/>
    </row>
    <row r="876" customFormat="false" ht="18" hidden="false" customHeight="true" outlineLevel="0" collapsed="false">
      <c r="A876" s="16" t="str">
        <f aca="false">IF(B876&lt;&gt;"",ROW()-2,"")</f>
        <v/>
      </c>
      <c r="B876" s="17"/>
      <c r="C876" s="17"/>
      <c r="D876" s="18"/>
      <c r="E876" s="19"/>
      <c r="F876" s="18"/>
      <c r="G876" s="20"/>
      <c r="H876" s="21"/>
      <c r="I876" s="21"/>
      <c r="J876" s="22"/>
      <c r="K876" s="23" t="str">
        <f aca="false">IF(H876*J876=0,"",H876*J876)</f>
        <v/>
      </c>
      <c r="L876" s="24"/>
      <c r="M876" s="24"/>
      <c r="N876" s="23" t="str">
        <f aca="false">IF(L876+M876=0,"",L876+M876)</f>
        <v/>
      </c>
      <c r="O876" s="25" t="str">
        <f aca="false">IF(OR(H876="",I876="",J876=""),"",IF(F876="Long",(I876-H876)*J876*IF(G876="",1,G876),(H876-I876)*J876*IF(G876="",1,G876)))</f>
        <v/>
      </c>
      <c r="P876" s="26" t="str">
        <f aca="false">IF(O876="","",O876-IF(N876="",0,N876))</f>
        <v/>
      </c>
      <c r="Q876" s="27" t="str">
        <f aca="false">IFERROR(IF(P876="","",P876/K876),"")</f>
        <v/>
      </c>
      <c r="R876" s="19"/>
      <c r="S876" s="18"/>
      <c r="T876" s="28"/>
    </row>
    <row r="877" customFormat="false" ht="18" hidden="false" customHeight="true" outlineLevel="0" collapsed="false">
      <c r="A877" s="3" t="str">
        <f aca="false">IF(B877&lt;&gt;"",ROW()-2,"")</f>
        <v/>
      </c>
      <c r="B877" s="4"/>
      <c r="C877" s="4"/>
      <c r="D877" s="5"/>
      <c r="E877" s="6"/>
      <c r="F877" s="5"/>
      <c r="G877" s="7"/>
      <c r="H877" s="8"/>
      <c r="I877" s="8"/>
      <c r="J877" s="9"/>
      <c r="K877" s="10" t="str">
        <f aca="false">IF(H877*J877=0,"",H877*J877)</f>
        <v/>
      </c>
      <c r="L877" s="11"/>
      <c r="M877" s="11"/>
      <c r="N877" s="10" t="str">
        <f aca="false">IF(L877+M877=0,"",L877+M877)</f>
        <v/>
      </c>
      <c r="O877" s="12" t="str">
        <f aca="false">IF(OR(H877="",I877="",J877=""),"",IF(F877="Long",(I877-H877)*J877*IF(G877="",1,G877),(H877-I877)*J877*IF(G877="",1,G877)))</f>
        <v/>
      </c>
      <c r="P877" s="13" t="str">
        <f aca="false">IF(O877="","",O877-IF(N877="",0,N877))</f>
        <v/>
      </c>
      <c r="Q877" s="14" t="str">
        <f aca="false">IFERROR(IF(P877="","",P877/K877),"")</f>
        <v/>
      </c>
      <c r="R877" s="6"/>
      <c r="S877" s="5"/>
      <c r="T877" s="15"/>
    </row>
    <row r="878" customFormat="false" ht="18" hidden="false" customHeight="true" outlineLevel="0" collapsed="false">
      <c r="A878" s="16" t="str">
        <f aca="false">IF(B878&lt;&gt;"",ROW()-2,"")</f>
        <v/>
      </c>
      <c r="B878" s="17"/>
      <c r="C878" s="17"/>
      <c r="D878" s="18"/>
      <c r="E878" s="19"/>
      <c r="F878" s="18"/>
      <c r="G878" s="20"/>
      <c r="H878" s="21"/>
      <c r="I878" s="21"/>
      <c r="J878" s="22"/>
      <c r="K878" s="23" t="str">
        <f aca="false">IF(H878*J878=0,"",H878*J878)</f>
        <v/>
      </c>
      <c r="L878" s="24"/>
      <c r="M878" s="24"/>
      <c r="N878" s="23" t="str">
        <f aca="false">IF(L878+M878=0,"",L878+M878)</f>
        <v/>
      </c>
      <c r="O878" s="25" t="str">
        <f aca="false">IF(OR(H878="",I878="",J878=""),"",IF(F878="Long",(I878-H878)*J878*IF(G878="",1,G878),(H878-I878)*J878*IF(G878="",1,G878)))</f>
        <v/>
      </c>
      <c r="P878" s="26" t="str">
        <f aca="false">IF(O878="","",O878-IF(N878="",0,N878))</f>
        <v/>
      </c>
      <c r="Q878" s="27" t="str">
        <f aca="false">IFERROR(IF(P878="","",P878/K878),"")</f>
        <v/>
      </c>
      <c r="R878" s="19"/>
      <c r="S878" s="18"/>
      <c r="T878" s="28"/>
    </row>
    <row r="879" customFormat="false" ht="18" hidden="false" customHeight="true" outlineLevel="0" collapsed="false">
      <c r="A879" s="3" t="str">
        <f aca="false">IF(B879&lt;&gt;"",ROW()-2,"")</f>
        <v/>
      </c>
      <c r="B879" s="4"/>
      <c r="C879" s="4"/>
      <c r="D879" s="5"/>
      <c r="E879" s="6"/>
      <c r="F879" s="5"/>
      <c r="G879" s="7"/>
      <c r="H879" s="8"/>
      <c r="I879" s="8"/>
      <c r="J879" s="9"/>
      <c r="K879" s="10" t="str">
        <f aca="false">IF(H879*J879=0,"",H879*J879)</f>
        <v/>
      </c>
      <c r="L879" s="11"/>
      <c r="M879" s="11"/>
      <c r="N879" s="10" t="str">
        <f aca="false">IF(L879+M879=0,"",L879+M879)</f>
        <v/>
      </c>
      <c r="O879" s="12" t="str">
        <f aca="false">IF(OR(H879="",I879="",J879=""),"",IF(F879="Long",(I879-H879)*J879*IF(G879="",1,G879),(H879-I879)*J879*IF(G879="",1,G879)))</f>
        <v/>
      </c>
      <c r="P879" s="13" t="str">
        <f aca="false">IF(O879="","",O879-IF(N879="",0,N879))</f>
        <v/>
      </c>
      <c r="Q879" s="14" t="str">
        <f aca="false">IFERROR(IF(P879="","",P879/K879),"")</f>
        <v/>
      </c>
      <c r="R879" s="6"/>
      <c r="S879" s="5"/>
      <c r="T879" s="15"/>
    </row>
    <row r="880" customFormat="false" ht="18" hidden="false" customHeight="true" outlineLevel="0" collapsed="false">
      <c r="A880" s="16" t="str">
        <f aca="false">IF(B880&lt;&gt;"",ROW()-2,"")</f>
        <v/>
      </c>
      <c r="B880" s="17"/>
      <c r="C880" s="17"/>
      <c r="D880" s="18"/>
      <c r="E880" s="19"/>
      <c r="F880" s="18"/>
      <c r="G880" s="20"/>
      <c r="H880" s="21"/>
      <c r="I880" s="21"/>
      <c r="J880" s="22"/>
      <c r="K880" s="23" t="str">
        <f aca="false">IF(H880*J880=0,"",H880*J880)</f>
        <v/>
      </c>
      <c r="L880" s="24"/>
      <c r="M880" s="24"/>
      <c r="N880" s="23" t="str">
        <f aca="false">IF(L880+M880=0,"",L880+M880)</f>
        <v/>
      </c>
      <c r="O880" s="25" t="str">
        <f aca="false">IF(OR(H880="",I880="",J880=""),"",IF(F880="Long",(I880-H880)*J880*IF(G880="",1,G880),(H880-I880)*J880*IF(G880="",1,G880)))</f>
        <v/>
      </c>
      <c r="P880" s="26" t="str">
        <f aca="false">IF(O880="","",O880-IF(N880="",0,N880))</f>
        <v/>
      </c>
      <c r="Q880" s="27" t="str">
        <f aca="false">IFERROR(IF(P880="","",P880/K880),"")</f>
        <v/>
      </c>
      <c r="R880" s="19"/>
      <c r="S880" s="18"/>
      <c r="T880" s="28"/>
    </row>
    <row r="881" customFormat="false" ht="18" hidden="false" customHeight="true" outlineLevel="0" collapsed="false">
      <c r="A881" s="3" t="str">
        <f aca="false">IF(B881&lt;&gt;"",ROW()-2,"")</f>
        <v/>
      </c>
      <c r="B881" s="4"/>
      <c r="C881" s="4"/>
      <c r="D881" s="5"/>
      <c r="E881" s="6"/>
      <c r="F881" s="5"/>
      <c r="G881" s="7"/>
      <c r="H881" s="8"/>
      <c r="I881" s="8"/>
      <c r="J881" s="9"/>
      <c r="K881" s="10" t="str">
        <f aca="false">IF(H881*J881=0,"",H881*J881)</f>
        <v/>
      </c>
      <c r="L881" s="11"/>
      <c r="M881" s="11"/>
      <c r="N881" s="10" t="str">
        <f aca="false">IF(L881+M881=0,"",L881+M881)</f>
        <v/>
      </c>
      <c r="O881" s="12" t="str">
        <f aca="false">IF(OR(H881="",I881="",J881=""),"",IF(F881="Long",(I881-H881)*J881*IF(G881="",1,G881),(H881-I881)*J881*IF(G881="",1,G881)))</f>
        <v/>
      </c>
      <c r="P881" s="13" t="str">
        <f aca="false">IF(O881="","",O881-IF(N881="",0,N881))</f>
        <v/>
      </c>
      <c r="Q881" s="14" t="str">
        <f aca="false">IFERROR(IF(P881="","",P881/K881),"")</f>
        <v/>
      </c>
      <c r="R881" s="6"/>
      <c r="S881" s="5"/>
      <c r="T881" s="15"/>
    </row>
    <row r="882" customFormat="false" ht="18" hidden="false" customHeight="true" outlineLevel="0" collapsed="false">
      <c r="A882" s="16" t="str">
        <f aca="false">IF(B882&lt;&gt;"",ROW()-2,"")</f>
        <v/>
      </c>
      <c r="B882" s="17"/>
      <c r="C882" s="17"/>
      <c r="D882" s="18"/>
      <c r="E882" s="19"/>
      <c r="F882" s="18"/>
      <c r="G882" s="20"/>
      <c r="H882" s="21"/>
      <c r="I882" s="21"/>
      <c r="J882" s="22"/>
      <c r="K882" s="23" t="str">
        <f aca="false">IF(H882*J882=0,"",H882*J882)</f>
        <v/>
      </c>
      <c r="L882" s="24"/>
      <c r="M882" s="24"/>
      <c r="N882" s="23" t="str">
        <f aca="false">IF(L882+M882=0,"",L882+M882)</f>
        <v/>
      </c>
      <c r="O882" s="25" t="str">
        <f aca="false">IF(OR(H882="",I882="",J882=""),"",IF(F882="Long",(I882-H882)*J882*IF(G882="",1,G882),(H882-I882)*J882*IF(G882="",1,G882)))</f>
        <v/>
      </c>
      <c r="P882" s="26" t="str">
        <f aca="false">IF(O882="","",O882-IF(N882="",0,N882))</f>
        <v/>
      </c>
      <c r="Q882" s="27" t="str">
        <f aca="false">IFERROR(IF(P882="","",P882/K882),"")</f>
        <v/>
      </c>
      <c r="R882" s="19"/>
      <c r="S882" s="18"/>
      <c r="T882" s="28"/>
    </row>
    <row r="883" customFormat="false" ht="18" hidden="false" customHeight="true" outlineLevel="0" collapsed="false">
      <c r="A883" s="3" t="str">
        <f aca="false">IF(B883&lt;&gt;"",ROW()-2,"")</f>
        <v/>
      </c>
      <c r="B883" s="4"/>
      <c r="C883" s="4"/>
      <c r="D883" s="5"/>
      <c r="E883" s="6"/>
      <c r="F883" s="5"/>
      <c r="G883" s="7"/>
      <c r="H883" s="8"/>
      <c r="I883" s="8"/>
      <c r="J883" s="9"/>
      <c r="K883" s="10" t="str">
        <f aca="false">IF(H883*J883=0,"",H883*J883)</f>
        <v/>
      </c>
      <c r="L883" s="11"/>
      <c r="M883" s="11"/>
      <c r="N883" s="10" t="str">
        <f aca="false">IF(L883+M883=0,"",L883+M883)</f>
        <v/>
      </c>
      <c r="O883" s="12" t="str">
        <f aca="false">IF(OR(H883="",I883="",J883=""),"",IF(F883="Long",(I883-H883)*J883*IF(G883="",1,G883),(H883-I883)*J883*IF(G883="",1,G883)))</f>
        <v/>
      </c>
      <c r="P883" s="13" t="str">
        <f aca="false">IF(O883="","",O883-IF(N883="",0,N883))</f>
        <v/>
      </c>
      <c r="Q883" s="14" t="str">
        <f aca="false">IFERROR(IF(P883="","",P883/K883),"")</f>
        <v/>
      </c>
      <c r="R883" s="6"/>
      <c r="S883" s="5"/>
      <c r="T883" s="15"/>
    </row>
    <row r="884" customFormat="false" ht="18" hidden="false" customHeight="true" outlineLevel="0" collapsed="false">
      <c r="A884" s="16" t="str">
        <f aca="false">IF(B884&lt;&gt;"",ROW()-2,"")</f>
        <v/>
      </c>
      <c r="B884" s="17"/>
      <c r="C884" s="17"/>
      <c r="D884" s="18"/>
      <c r="E884" s="19"/>
      <c r="F884" s="18"/>
      <c r="G884" s="20"/>
      <c r="H884" s="21"/>
      <c r="I884" s="21"/>
      <c r="J884" s="22"/>
      <c r="K884" s="23" t="str">
        <f aca="false">IF(H884*J884=0,"",H884*J884)</f>
        <v/>
      </c>
      <c r="L884" s="24"/>
      <c r="M884" s="24"/>
      <c r="N884" s="23" t="str">
        <f aca="false">IF(L884+M884=0,"",L884+M884)</f>
        <v/>
      </c>
      <c r="O884" s="25" t="str">
        <f aca="false">IF(OR(H884="",I884="",J884=""),"",IF(F884="Long",(I884-H884)*J884*IF(G884="",1,G884),(H884-I884)*J884*IF(G884="",1,G884)))</f>
        <v/>
      </c>
      <c r="P884" s="26" t="str">
        <f aca="false">IF(O884="","",O884-IF(N884="",0,N884))</f>
        <v/>
      </c>
      <c r="Q884" s="27" t="str">
        <f aca="false">IFERROR(IF(P884="","",P884/K884),"")</f>
        <v/>
      </c>
      <c r="R884" s="19"/>
      <c r="S884" s="18"/>
      <c r="T884" s="28"/>
    </row>
    <row r="885" customFormat="false" ht="18" hidden="false" customHeight="true" outlineLevel="0" collapsed="false">
      <c r="A885" s="3" t="str">
        <f aca="false">IF(B885&lt;&gt;"",ROW()-2,"")</f>
        <v/>
      </c>
      <c r="B885" s="4"/>
      <c r="C885" s="4"/>
      <c r="D885" s="5"/>
      <c r="E885" s="6"/>
      <c r="F885" s="5"/>
      <c r="G885" s="7"/>
      <c r="H885" s="8"/>
      <c r="I885" s="8"/>
      <c r="J885" s="9"/>
      <c r="K885" s="10" t="str">
        <f aca="false">IF(H885*J885=0,"",H885*J885)</f>
        <v/>
      </c>
      <c r="L885" s="11"/>
      <c r="M885" s="11"/>
      <c r="N885" s="10" t="str">
        <f aca="false">IF(L885+M885=0,"",L885+M885)</f>
        <v/>
      </c>
      <c r="O885" s="12" t="str">
        <f aca="false">IF(OR(H885="",I885="",J885=""),"",IF(F885="Long",(I885-H885)*J885*IF(G885="",1,G885),(H885-I885)*J885*IF(G885="",1,G885)))</f>
        <v/>
      </c>
      <c r="P885" s="13" t="str">
        <f aca="false">IF(O885="","",O885-IF(N885="",0,N885))</f>
        <v/>
      </c>
      <c r="Q885" s="14" t="str">
        <f aca="false">IFERROR(IF(P885="","",P885/K885),"")</f>
        <v/>
      </c>
      <c r="R885" s="6"/>
      <c r="S885" s="5"/>
      <c r="T885" s="15"/>
    </row>
    <row r="886" customFormat="false" ht="18" hidden="false" customHeight="true" outlineLevel="0" collapsed="false">
      <c r="A886" s="16" t="str">
        <f aca="false">IF(B886&lt;&gt;"",ROW()-2,"")</f>
        <v/>
      </c>
      <c r="B886" s="17"/>
      <c r="C886" s="17"/>
      <c r="D886" s="18"/>
      <c r="E886" s="19"/>
      <c r="F886" s="18"/>
      <c r="G886" s="20"/>
      <c r="H886" s="21"/>
      <c r="I886" s="21"/>
      <c r="J886" s="22"/>
      <c r="K886" s="23" t="str">
        <f aca="false">IF(H886*J886=0,"",H886*J886)</f>
        <v/>
      </c>
      <c r="L886" s="24"/>
      <c r="M886" s="24"/>
      <c r="N886" s="23" t="str">
        <f aca="false">IF(L886+M886=0,"",L886+M886)</f>
        <v/>
      </c>
      <c r="O886" s="25" t="str">
        <f aca="false">IF(OR(H886="",I886="",J886=""),"",IF(F886="Long",(I886-H886)*J886*IF(G886="",1,G886),(H886-I886)*J886*IF(G886="",1,G886)))</f>
        <v/>
      </c>
      <c r="P886" s="26" t="str">
        <f aca="false">IF(O886="","",O886-IF(N886="",0,N886))</f>
        <v/>
      </c>
      <c r="Q886" s="27" t="str">
        <f aca="false">IFERROR(IF(P886="","",P886/K886),"")</f>
        <v/>
      </c>
      <c r="R886" s="19"/>
      <c r="S886" s="18"/>
      <c r="T886" s="28"/>
    </row>
    <row r="887" customFormat="false" ht="18" hidden="false" customHeight="true" outlineLevel="0" collapsed="false">
      <c r="A887" s="3" t="str">
        <f aca="false">IF(B887&lt;&gt;"",ROW()-2,"")</f>
        <v/>
      </c>
      <c r="B887" s="4"/>
      <c r="C887" s="4"/>
      <c r="D887" s="5"/>
      <c r="E887" s="6"/>
      <c r="F887" s="5"/>
      <c r="G887" s="7"/>
      <c r="H887" s="8"/>
      <c r="I887" s="8"/>
      <c r="J887" s="9"/>
      <c r="K887" s="10" t="str">
        <f aca="false">IF(H887*J887=0,"",H887*J887)</f>
        <v/>
      </c>
      <c r="L887" s="11"/>
      <c r="M887" s="11"/>
      <c r="N887" s="10" t="str">
        <f aca="false">IF(L887+M887=0,"",L887+M887)</f>
        <v/>
      </c>
      <c r="O887" s="12" t="str">
        <f aca="false">IF(OR(H887="",I887="",J887=""),"",IF(F887="Long",(I887-H887)*J887*IF(G887="",1,G887),(H887-I887)*J887*IF(G887="",1,G887)))</f>
        <v/>
      </c>
      <c r="P887" s="13" t="str">
        <f aca="false">IF(O887="","",O887-IF(N887="",0,N887))</f>
        <v/>
      </c>
      <c r="Q887" s="14" t="str">
        <f aca="false">IFERROR(IF(P887="","",P887/K887),"")</f>
        <v/>
      </c>
      <c r="R887" s="6"/>
      <c r="S887" s="5"/>
      <c r="T887" s="15"/>
    </row>
    <row r="888" customFormat="false" ht="18" hidden="false" customHeight="true" outlineLevel="0" collapsed="false">
      <c r="A888" s="16" t="str">
        <f aca="false">IF(B888&lt;&gt;"",ROW()-2,"")</f>
        <v/>
      </c>
      <c r="B888" s="17"/>
      <c r="C888" s="17"/>
      <c r="D888" s="18"/>
      <c r="E888" s="19"/>
      <c r="F888" s="18"/>
      <c r="G888" s="20"/>
      <c r="H888" s="21"/>
      <c r="I888" s="21"/>
      <c r="J888" s="22"/>
      <c r="K888" s="23" t="str">
        <f aca="false">IF(H888*J888=0,"",H888*J888)</f>
        <v/>
      </c>
      <c r="L888" s="24"/>
      <c r="M888" s="24"/>
      <c r="N888" s="23" t="str">
        <f aca="false">IF(L888+M888=0,"",L888+M888)</f>
        <v/>
      </c>
      <c r="O888" s="25" t="str">
        <f aca="false">IF(OR(H888="",I888="",J888=""),"",IF(F888="Long",(I888-H888)*J888*IF(G888="",1,G888),(H888-I888)*J888*IF(G888="",1,G888)))</f>
        <v/>
      </c>
      <c r="P888" s="26" t="str">
        <f aca="false">IF(O888="","",O888-IF(N888="",0,N888))</f>
        <v/>
      </c>
      <c r="Q888" s="27" t="str">
        <f aca="false">IFERROR(IF(P888="","",P888/K888),"")</f>
        <v/>
      </c>
      <c r="R888" s="19"/>
      <c r="S888" s="18"/>
      <c r="T888" s="28"/>
    </row>
    <row r="889" customFormat="false" ht="18" hidden="false" customHeight="true" outlineLevel="0" collapsed="false">
      <c r="A889" s="3" t="str">
        <f aca="false">IF(B889&lt;&gt;"",ROW()-2,"")</f>
        <v/>
      </c>
      <c r="B889" s="4"/>
      <c r="C889" s="4"/>
      <c r="D889" s="5"/>
      <c r="E889" s="6"/>
      <c r="F889" s="5"/>
      <c r="G889" s="7"/>
      <c r="H889" s="8"/>
      <c r="I889" s="8"/>
      <c r="J889" s="9"/>
      <c r="K889" s="10" t="str">
        <f aca="false">IF(H889*J889=0,"",H889*J889)</f>
        <v/>
      </c>
      <c r="L889" s="11"/>
      <c r="M889" s="11"/>
      <c r="N889" s="10" t="str">
        <f aca="false">IF(L889+M889=0,"",L889+M889)</f>
        <v/>
      </c>
      <c r="O889" s="12" t="str">
        <f aca="false">IF(OR(H889="",I889="",J889=""),"",IF(F889="Long",(I889-H889)*J889*IF(G889="",1,G889),(H889-I889)*J889*IF(G889="",1,G889)))</f>
        <v/>
      </c>
      <c r="P889" s="13" t="str">
        <f aca="false">IF(O889="","",O889-IF(N889="",0,N889))</f>
        <v/>
      </c>
      <c r="Q889" s="14" t="str">
        <f aca="false">IFERROR(IF(P889="","",P889/K889),"")</f>
        <v/>
      </c>
      <c r="R889" s="6"/>
      <c r="S889" s="5"/>
      <c r="T889" s="15"/>
    </row>
    <row r="890" customFormat="false" ht="18" hidden="false" customHeight="true" outlineLevel="0" collapsed="false">
      <c r="A890" s="16" t="str">
        <f aca="false">IF(B890&lt;&gt;"",ROW()-2,"")</f>
        <v/>
      </c>
      <c r="B890" s="17"/>
      <c r="C890" s="17"/>
      <c r="D890" s="18"/>
      <c r="E890" s="19"/>
      <c r="F890" s="18"/>
      <c r="G890" s="20"/>
      <c r="H890" s="21"/>
      <c r="I890" s="21"/>
      <c r="J890" s="22"/>
      <c r="K890" s="23" t="str">
        <f aca="false">IF(H890*J890=0,"",H890*J890)</f>
        <v/>
      </c>
      <c r="L890" s="24"/>
      <c r="M890" s="24"/>
      <c r="N890" s="23" t="str">
        <f aca="false">IF(L890+M890=0,"",L890+M890)</f>
        <v/>
      </c>
      <c r="O890" s="25" t="str">
        <f aca="false">IF(OR(H890="",I890="",J890=""),"",IF(F890="Long",(I890-H890)*J890*IF(G890="",1,G890),(H890-I890)*J890*IF(G890="",1,G890)))</f>
        <v/>
      </c>
      <c r="P890" s="26" t="str">
        <f aca="false">IF(O890="","",O890-IF(N890="",0,N890))</f>
        <v/>
      </c>
      <c r="Q890" s="27" t="str">
        <f aca="false">IFERROR(IF(P890="","",P890/K890),"")</f>
        <v/>
      </c>
      <c r="R890" s="19"/>
      <c r="S890" s="18"/>
      <c r="T890" s="28"/>
    </row>
    <row r="891" customFormat="false" ht="18" hidden="false" customHeight="true" outlineLevel="0" collapsed="false">
      <c r="A891" s="3" t="str">
        <f aca="false">IF(B891&lt;&gt;"",ROW()-2,"")</f>
        <v/>
      </c>
      <c r="B891" s="4"/>
      <c r="C891" s="4"/>
      <c r="D891" s="5"/>
      <c r="E891" s="6"/>
      <c r="F891" s="5"/>
      <c r="G891" s="7"/>
      <c r="H891" s="8"/>
      <c r="I891" s="8"/>
      <c r="J891" s="9"/>
      <c r="K891" s="10" t="str">
        <f aca="false">IF(H891*J891=0,"",H891*J891)</f>
        <v/>
      </c>
      <c r="L891" s="11"/>
      <c r="M891" s="11"/>
      <c r="N891" s="10" t="str">
        <f aca="false">IF(L891+M891=0,"",L891+M891)</f>
        <v/>
      </c>
      <c r="O891" s="12" t="str">
        <f aca="false">IF(OR(H891="",I891="",J891=""),"",IF(F891="Long",(I891-H891)*J891*IF(G891="",1,G891),(H891-I891)*J891*IF(G891="",1,G891)))</f>
        <v/>
      </c>
      <c r="P891" s="13" t="str">
        <f aca="false">IF(O891="","",O891-IF(N891="",0,N891))</f>
        <v/>
      </c>
      <c r="Q891" s="14" t="str">
        <f aca="false">IFERROR(IF(P891="","",P891/K891),"")</f>
        <v/>
      </c>
      <c r="R891" s="6"/>
      <c r="S891" s="5"/>
      <c r="T891" s="15"/>
    </row>
    <row r="892" customFormat="false" ht="18" hidden="false" customHeight="true" outlineLevel="0" collapsed="false">
      <c r="A892" s="16" t="str">
        <f aca="false">IF(B892&lt;&gt;"",ROW()-2,"")</f>
        <v/>
      </c>
      <c r="B892" s="17"/>
      <c r="C892" s="17"/>
      <c r="D892" s="18"/>
      <c r="E892" s="19"/>
      <c r="F892" s="18"/>
      <c r="G892" s="20"/>
      <c r="H892" s="21"/>
      <c r="I892" s="21"/>
      <c r="J892" s="22"/>
      <c r="K892" s="23" t="str">
        <f aca="false">IF(H892*J892=0,"",H892*J892)</f>
        <v/>
      </c>
      <c r="L892" s="24"/>
      <c r="M892" s="24"/>
      <c r="N892" s="23" t="str">
        <f aca="false">IF(L892+M892=0,"",L892+M892)</f>
        <v/>
      </c>
      <c r="O892" s="25" t="str">
        <f aca="false">IF(OR(H892="",I892="",J892=""),"",IF(F892="Long",(I892-H892)*J892*IF(G892="",1,G892),(H892-I892)*J892*IF(G892="",1,G892)))</f>
        <v/>
      </c>
      <c r="P892" s="26" t="str">
        <f aca="false">IF(O892="","",O892-IF(N892="",0,N892))</f>
        <v/>
      </c>
      <c r="Q892" s="27" t="str">
        <f aca="false">IFERROR(IF(P892="","",P892/K892),"")</f>
        <v/>
      </c>
      <c r="R892" s="19"/>
      <c r="S892" s="18"/>
      <c r="T892" s="28"/>
    </row>
    <row r="893" customFormat="false" ht="18" hidden="false" customHeight="true" outlineLevel="0" collapsed="false">
      <c r="A893" s="3" t="str">
        <f aca="false">IF(B893&lt;&gt;"",ROW()-2,"")</f>
        <v/>
      </c>
      <c r="B893" s="4"/>
      <c r="C893" s="4"/>
      <c r="D893" s="5"/>
      <c r="E893" s="6"/>
      <c r="F893" s="5"/>
      <c r="G893" s="7"/>
      <c r="H893" s="8"/>
      <c r="I893" s="8"/>
      <c r="J893" s="9"/>
      <c r="K893" s="10" t="str">
        <f aca="false">IF(H893*J893=0,"",H893*J893)</f>
        <v/>
      </c>
      <c r="L893" s="11"/>
      <c r="M893" s="11"/>
      <c r="N893" s="10" t="str">
        <f aca="false">IF(L893+M893=0,"",L893+M893)</f>
        <v/>
      </c>
      <c r="O893" s="12" t="str">
        <f aca="false">IF(OR(H893="",I893="",J893=""),"",IF(F893="Long",(I893-H893)*J893*IF(G893="",1,G893),(H893-I893)*J893*IF(G893="",1,G893)))</f>
        <v/>
      </c>
      <c r="P893" s="13" t="str">
        <f aca="false">IF(O893="","",O893-IF(N893="",0,N893))</f>
        <v/>
      </c>
      <c r="Q893" s="14" t="str">
        <f aca="false">IFERROR(IF(P893="","",P893/K893),"")</f>
        <v/>
      </c>
      <c r="R893" s="6"/>
      <c r="S893" s="5"/>
      <c r="T893" s="15"/>
    </row>
    <row r="894" customFormat="false" ht="18" hidden="false" customHeight="true" outlineLevel="0" collapsed="false">
      <c r="A894" s="16" t="str">
        <f aca="false">IF(B894&lt;&gt;"",ROW()-2,"")</f>
        <v/>
      </c>
      <c r="B894" s="17"/>
      <c r="C894" s="17"/>
      <c r="D894" s="18"/>
      <c r="E894" s="19"/>
      <c r="F894" s="18"/>
      <c r="G894" s="20"/>
      <c r="H894" s="21"/>
      <c r="I894" s="21"/>
      <c r="J894" s="22"/>
      <c r="K894" s="23" t="str">
        <f aca="false">IF(H894*J894=0,"",H894*J894)</f>
        <v/>
      </c>
      <c r="L894" s="24"/>
      <c r="M894" s="24"/>
      <c r="N894" s="23" t="str">
        <f aca="false">IF(L894+M894=0,"",L894+M894)</f>
        <v/>
      </c>
      <c r="O894" s="25" t="str">
        <f aca="false">IF(OR(H894="",I894="",J894=""),"",IF(F894="Long",(I894-H894)*J894*IF(G894="",1,G894),(H894-I894)*J894*IF(G894="",1,G894)))</f>
        <v/>
      </c>
      <c r="P894" s="26" t="str">
        <f aca="false">IF(O894="","",O894-IF(N894="",0,N894))</f>
        <v/>
      </c>
      <c r="Q894" s="27" t="str">
        <f aca="false">IFERROR(IF(P894="","",P894/K894),"")</f>
        <v/>
      </c>
      <c r="R894" s="19"/>
      <c r="S894" s="18"/>
      <c r="T894" s="28"/>
    </row>
    <row r="895" customFormat="false" ht="18" hidden="false" customHeight="true" outlineLevel="0" collapsed="false">
      <c r="A895" s="3" t="str">
        <f aca="false">IF(B895&lt;&gt;"",ROW()-2,"")</f>
        <v/>
      </c>
      <c r="B895" s="4"/>
      <c r="C895" s="4"/>
      <c r="D895" s="5"/>
      <c r="E895" s="6"/>
      <c r="F895" s="5"/>
      <c r="G895" s="7"/>
      <c r="H895" s="8"/>
      <c r="I895" s="8"/>
      <c r="J895" s="9"/>
      <c r="K895" s="10" t="str">
        <f aca="false">IF(H895*J895=0,"",H895*J895)</f>
        <v/>
      </c>
      <c r="L895" s="11"/>
      <c r="M895" s="11"/>
      <c r="N895" s="10" t="str">
        <f aca="false">IF(L895+M895=0,"",L895+M895)</f>
        <v/>
      </c>
      <c r="O895" s="12" t="str">
        <f aca="false">IF(OR(H895="",I895="",J895=""),"",IF(F895="Long",(I895-H895)*J895*IF(G895="",1,G895),(H895-I895)*J895*IF(G895="",1,G895)))</f>
        <v/>
      </c>
      <c r="P895" s="13" t="str">
        <f aca="false">IF(O895="","",O895-IF(N895="",0,N895))</f>
        <v/>
      </c>
      <c r="Q895" s="14" t="str">
        <f aca="false">IFERROR(IF(P895="","",P895/K895),"")</f>
        <v/>
      </c>
      <c r="R895" s="6"/>
      <c r="S895" s="5"/>
      <c r="T895" s="15"/>
    </row>
    <row r="896" customFormat="false" ht="18" hidden="false" customHeight="true" outlineLevel="0" collapsed="false">
      <c r="A896" s="16" t="str">
        <f aca="false">IF(B896&lt;&gt;"",ROW()-2,"")</f>
        <v/>
      </c>
      <c r="B896" s="17"/>
      <c r="C896" s="17"/>
      <c r="D896" s="18"/>
      <c r="E896" s="19"/>
      <c r="F896" s="18"/>
      <c r="G896" s="20"/>
      <c r="H896" s="21"/>
      <c r="I896" s="21"/>
      <c r="J896" s="22"/>
      <c r="K896" s="23" t="str">
        <f aca="false">IF(H896*J896=0,"",H896*J896)</f>
        <v/>
      </c>
      <c r="L896" s="24"/>
      <c r="M896" s="24"/>
      <c r="N896" s="23" t="str">
        <f aca="false">IF(L896+M896=0,"",L896+M896)</f>
        <v/>
      </c>
      <c r="O896" s="25" t="str">
        <f aca="false">IF(OR(H896="",I896="",J896=""),"",IF(F896="Long",(I896-H896)*J896*IF(G896="",1,G896),(H896-I896)*J896*IF(G896="",1,G896)))</f>
        <v/>
      </c>
      <c r="P896" s="26" t="str">
        <f aca="false">IF(O896="","",O896-IF(N896="",0,N896))</f>
        <v/>
      </c>
      <c r="Q896" s="27" t="str">
        <f aca="false">IFERROR(IF(P896="","",P896/K896),"")</f>
        <v/>
      </c>
      <c r="R896" s="19"/>
      <c r="S896" s="18"/>
      <c r="T896" s="28"/>
    </row>
    <row r="897" customFormat="false" ht="18" hidden="false" customHeight="true" outlineLevel="0" collapsed="false">
      <c r="A897" s="3" t="str">
        <f aca="false">IF(B897&lt;&gt;"",ROW()-2,"")</f>
        <v/>
      </c>
      <c r="B897" s="4"/>
      <c r="C897" s="4"/>
      <c r="D897" s="5"/>
      <c r="E897" s="6"/>
      <c r="F897" s="5"/>
      <c r="G897" s="7"/>
      <c r="H897" s="8"/>
      <c r="I897" s="8"/>
      <c r="J897" s="9"/>
      <c r="K897" s="10" t="str">
        <f aca="false">IF(H897*J897=0,"",H897*J897)</f>
        <v/>
      </c>
      <c r="L897" s="11"/>
      <c r="M897" s="11"/>
      <c r="N897" s="10" t="str">
        <f aca="false">IF(L897+M897=0,"",L897+M897)</f>
        <v/>
      </c>
      <c r="O897" s="12" t="str">
        <f aca="false">IF(OR(H897="",I897="",J897=""),"",IF(F897="Long",(I897-H897)*J897*IF(G897="",1,G897),(H897-I897)*J897*IF(G897="",1,G897)))</f>
        <v/>
      </c>
      <c r="P897" s="13" t="str">
        <f aca="false">IF(O897="","",O897-IF(N897="",0,N897))</f>
        <v/>
      </c>
      <c r="Q897" s="14" t="str">
        <f aca="false">IFERROR(IF(P897="","",P897/K897),"")</f>
        <v/>
      </c>
      <c r="R897" s="6"/>
      <c r="S897" s="5"/>
      <c r="T897" s="15"/>
    </row>
    <row r="898" customFormat="false" ht="18" hidden="false" customHeight="true" outlineLevel="0" collapsed="false">
      <c r="A898" s="16" t="str">
        <f aca="false">IF(B898&lt;&gt;"",ROW()-2,"")</f>
        <v/>
      </c>
      <c r="B898" s="17"/>
      <c r="C898" s="17"/>
      <c r="D898" s="18"/>
      <c r="E898" s="19"/>
      <c r="F898" s="18"/>
      <c r="G898" s="20"/>
      <c r="H898" s="21"/>
      <c r="I898" s="21"/>
      <c r="J898" s="22"/>
      <c r="K898" s="23" t="str">
        <f aca="false">IF(H898*J898=0,"",H898*J898)</f>
        <v/>
      </c>
      <c r="L898" s="24"/>
      <c r="M898" s="24"/>
      <c r="N898" s="23" t="str">
        <f aca="false">IF(L898+M898=0,"",L898+M898)</f>
        <v/>
      </c>
      <c r="O898" s="25" t="str">
        <f aca="false">IF(OR(H898="",I898="",J898=""),"",IF(F898="Long",(I898-H898)*J898*IF(G898="",1,G898),(H898-I898)*J898*IF(G898="",1,G898)))</f>
        <v/>
      </c>
      <c r="P898" s="26" t="str">
        <f aca="false">IF(O898="","",O898-IF(N898="",0,N898))</f>
        <v/>
      </c>
      <c r="Q898" s="27" t="str">
        <f aca="false">IFERROR(IF(P898="","",P898/K898),"")</f>
        <v/>
      </c>
      <c r="R898" s="19"/>
      <c r="S898" s="18"/>
      <c r="T898" s="28"/>
    </row>
    <row r="899" customFormat="false" ht="18" hidden="false" customHeight="true" outlineLevel="0" collapsed="false">
      <c r="A899" s="3" t="str">
        <f aca="false">IF(B899&lt;&gt;"",ROW()-2,"")</f>
        <v/>
      </c>
      <c r="B899" s="4"/>
      <c r="C899" s="4"/>
      <c r="D899" s="5"/>
      <c r="E899" s="6"/>
      <c r="F899" s="5"/>
      <c r="G899" s="7"/>
      <c r="H899" s="8"/>
      <c r="I899" s="8"/>
      <c r="J899" s="9"/>
      <c r="K899" s="10" t="str">
        <f aca="false">IF(H899*J899=0,"",H899*J899)</f>
        <v/>
      </c>
      <c r="L899" s="11"/>
      <c r="M899" s="11"/>
      <c r="N899" s="10" t="str">
        <f aca="false">IF(L899+M899=0,"",L899+M899)</f>
        <v/>
      </c>
      <c r="O899" s="12" t="str">
        <f aca="false">IF(OR(H899="",I899="",J899=""),"",IF(F899="Long",(I899-H899)*J899*IF(G899="",1,G899),(H899-I899)*J899*IF(G899="",1,G899)))</f>
        <v/>
      </c>
      <c r="P899" s="13" t="str">
        <f aca="false">IF(O899="","",O899-IF(N899="",0,N899))</f>
        <v/>
      </c>
      <c r="Q899" s="14" t="str">
        <f aca="false">IFERROR(IF(P899="","",P899/K899),"")</f>
        <v/>
      </c>
      <c r="R899" s="6"/>
      <c r="S899" s="5"/>
      <c r="T899" s="15"/>
    </row>
    <row r="900" customFormat="false" ht="18" hidden="false" customHeight="true" outlineLevel="0" collapsed="false">
      <c r="A900" s="16" t="str">
        <f aca="false">IF(B900&lt;&gt;"",ROW()-2,"")</f>
        <v/>
      </c>
      <c r="B900" s="17"/>
      <c r="C900" s="17"/>
      <c r="D900" s="18"/>
      <c r="E900" s="19"/>
      <c r="F900" s="18"/>
      <c r="G900" s="20"/>
      <c r="H900" s="21"/>
      <c r="I900" s="21"/>
      <c r="J900" s="22"/>
      <c r="K900" s="23" t="str">
        <f aca="false">IF(H900*J900=0,"",H900*J900)</f>
        <v/>
      </c>
      <c r="L900" s="24"/>
      <c r="M900" s="24"/>
      <c r="N900" s="23" t="str">
        <f aca="false">IF(L900+M900=0,"",L900+M900)</f>
        <v/>
      </c>
      <c r="O900" s="25" t="str">
        <f aca="false">IF(OR(H900="",I900="",J900=""),"",IF(F900="Long",(I900-H900)*J900*IF(G900="",1,G900),(H900-I900)*J900*IF(G900="",1,G900)))</f>
        <v/>
      </c>
      <c r="P900" s="26" t="str">
        <f aca="false">IF(O900="","",O900-IF(N900="",0,N900))</f>
        <v/>
      </c>
      <c r="Q900" s="27" t="str">
        <f aca="false">IFERROR(IF(P900="","",P900/K900),"")</f>
        <v/>
      </c>
      <c r="R900" s="19"/>
      <c r="S900" s="18"/>
      <c r="T900" s="28"/>
    </row>
    <row r="901" customFormat="false" ht="18" hidden="false" customHeight="true" outlineLevel="0" collapsed="false">
      <c r="A901" s="3" t="str">
        <f aca="false">IF(B901&lt;&gt;"",ROW()-2,"")</f>
        <v/>
      </c>
      <c r="B901" s="4"/>
      <c r="C901" s="4"/>
      <c r="D901" s="5"/>
      <c r="E901" s="6"/>
      <c r="F901" s="5"/>
      <c r="G901" s="7"/>
      <c r="H901" s="8"/>
      <c r="I901" s="8"/>
      <c r="J901" s="9"/>
      <c r="K901" s="10" t="str">
        <f aca="false">IF(H901*J901=0,"",H901*J901)</f>
        <v/>
      </c>
      <c r="L901" s="11"/>
      <c r="M901" s="11"/>
      <c r="N901" s="10" t="str">
        <f aca="false">IF(L901+M901=0,"",L901+M901)</f>
        <v/>
      </c>
      <c r="O901" s="12" t="str">
        <f aca="false">IF(OR(H901="",I901="",J901=""),"",IF(F901="Long",(I901-H901)*J901*IF(G901="",1,G901),(H901-I901)*J901*IF(G901="",1,G901)))</f>
        <v/>
      </c>
      <c r="P901" s="13" t="str">
        <f aca="false">IF(O901="","",O901-IF(N901="",0,N901))</f>
        <v/>
      </c>
      <c r="Q901" s="14" t="str">
        <f aca="false">IFERROR(IF(P901="","",P901/K901),"")</f>
        <v/>
      </c>
      <c r="R901" s="6"/>
      <c r="S901" s="5"/>
      <c r="T901" s="15"/>
    </row>
    <row r="902" customFormat="false" ht="18" hidden="false" customHeight="true" outlineLevel="0" collapsed="false">
      <c r="A902" s="16" t="str">
        <f aca="false">IF(B902&lt;&gt;"",ROW()-2,"")</f>
        <v/>
      </c>
      <c r="B902" s="17"/>
      <c r="C902" s="17"/>
      <c r="D902" s="18"/>
      <c r="E902" s="19"/>
      <c r="F902" s="18"/>
      <c r="G902" s="20"/>
      <c r="H902" s="21"/>
      <c r="I902" s="21"/>
      <c r="J902" s="22"/>
      <c r="K902" s="23" t="str">
        <f aca="false">IF(H902*J902=0,"",H902*J902)</f>
        <v/>
      </c>
      <c r="L902" s="24"/>
      <c r="M902" s="24"/>
      <c r="N902" s="23" t="str">
        <f aca="false">IF(L902+M902=0,"",L902+M902)</f>
        <v/>
      </c>
      <c r="O902" s="25" t="str">
        <f aca="false">IF(OR(H902="",I902="",J902=""),"",IF(F902="Long",(I902-H902)*J902*IF(G902="",1,G902),(H902-I902)*J902*IF(G902="",1,G902)))</f>
        <v/>
      </c>
      <c r="P902" s="26" t="str">
        <f aca="false">IF(O902="","",O902-IF(N902="",0,N902))</f>
        <v/>
      </c>
      <c r="Q902" s="27" t="str">
        <f aca="false">IFERROR(IF(P902="","",P902/K902),"")</f>
        <v/>
      </c>
      <c r="R902" s="19"/>
      <c r="S902" s="18"/>
      <c r="T902" s="28"/>
    </row>
    <row r="903" customFormat="false" ht="18" hidden="false" customHeight="true" outlineLevel="0" collapsed="false">
      <c r="A903" s="3" t="str">
        <f aca="false">IF(B903&lt;&gt;"",ROW()-2,"")</f>
        <v/>
      </c>
      <c r="B903" s="4"/>
      <c r="C903" s="4"/>
      <c r="D903" s="5"/>
      <c r="E903" s="6"/>
      <c r="F903" s="5"/>
      <c r="G903" s="7"/>
      <c r="H903" s="8"/>
      <c r="I903" s="8"/>
      <c r="J903" s="9"/>
      <c r="K903" s="10" t="str">
        <f aca="false">IF(H903*J903=0,"",H903*J903)</f>
        <v/>
      </c>
      <c r="L903" s="11"/>
      <c r="M903" s="11"/>
      <c r="N903" s="10" t="str">
        <f aca="false">IF(L903+M903=0,"",L903+M903)</f>
        <v/>
      </c>
      <c r="O903" s="12" t="str">
        <f aca="false">IF(OR(H903="",I903="",J903=""),"",IF(F903="Long",(I903-H903)*J903*IF(G903="",1,G903),(H903-I903)*J903*IF(G903="",1,G903)))</f>
        <v/>
      </c>
      <c r="P903" s="13" t="str">
        <f aca="false">IF(O903="","",O903-IF(N903="",0,N903))</f>
        <v/>
      </c>
      <c r="Q903" s="14" t="str">
        <f aca="false">IFERROR(IF(P903="","",P903/K903),"")</f>
        <v/>
      </c>
      <c r="R903" s="6"/>
      <c r="S903" s="5"/>
      <c r="T903" s="15"/>
    </row>
    <row r="904" customFormat="false" ht="18" hidden="false" customHeight="true" outlineLevel="0" collapsed="false">
      <c r="A904" s="16" t="str">
        <f aca="false">IF(B904&lt;&gt;"",ROW()-2,"")</f>
        <v/>
      </c>
      <c r="B904" s="17"/>
      <c r="C904" s="17"/>
      <c r="D904" s="18"/>
      <c r="E904" s="19"/>
      <c r="F904" s="18"/>
      <c r="G904" s="20"/>
      <c r="H904" s="21"/>
      <c r="I904" s="21"/>
      <c r="J904" s="22"/>
      <c r="K904" s="23" t="str">
        <f aca="false">IF(H904*J904=0,"",H904*J904)</f>
        <v/>
      </c>
      <c r="L904" s="24"/>
      <c r="M904" s="24"/>
      <c r="N904" s="23" t="str">
        <f aca="false">IF(L904+M904=0,"",L904+M904)</f>
        <v/>
      </c>
      <c r="O904" s="25" t="str">
        <f aca="false">IF(OR(H904="",I904="",J904=""),"",IF(F904="Long",(I904-H904)*J904*IF(G904="",1,G904),(H904-I904)*J904*IF(G904="",1,G904)))</f>
        <v/>
      </c>
      <c r="P904" s="26" t="str">
        <f aca="false">IF(O904="","",O904-IF(N904="",0,N904))</f>
        <v/>
      </c>
      <c r="Q904" s="27" t="str">
        <f aca="false">IFERROR(IF(P904="","",P904/K904),"")</f>
        <v/>
      </c>
      <c r="R904" s="19"/>
      <c r="S904" s="18"/>
      <c r="T904" s="28"/>
    </row>
    <row r="905" customFormat="false" ht="18" hidden="false" customHeight="true" outlineLevel="0" collapsed="false">
      <c r="A905" s="3" t="str">
        <f aca="false">IF(B905&lt;&gt;"",ROW()-2,"")</f>
        <v/>
      </c>
      <c r="B905" s="4"/>
      <c r="C905" s="4"/>
      <c r="D905" s="5"/>
      <c r="E905" s="6"/>
      <c r="F905" s="5"/>
      <c r="G905" s="7"/>
      <c r="H905" s="8"/>
      <c r="I905" s="8"/>
      <c r="J905" s="9"/>
      <c r="K905" s="10" t="str">
        <f aca="false">IF(H905*J905=0,"",H905*J905)</f>
        <v/>
      </c>
      <c r="L905" s="11"/>
      <c r="M905" s="11"/>
      <c r="N905" s="10" t="str">
        <f aca="false">IF(L905+M905=0,"",L905+M905)</f>
        <v/>
      </c>
      <c r="O905" s="12" t="str">
        <f aca="false">IF(OR(H905="",I905="",J905=""),"",IF(F905="Long",(I905-H905)*J905*IF(G905="",1,G905),(H905-I905)*J905*IF(G905="",1,G905)))</f>
        <v/>
      </c>
      <c r="P905" s="13" t="str">
        <f aca="false">IF(O905="","",O905-IF(N905="",0,N905))</f>
        <v/>
      </c>
      <c r="Q905" s="14" t="str">
        <f aca="false">IFERROR(IF(P905="","",P905/K905),"")</f>
        <v/>
      </c>
      <c r="R905" s="6"/>
      <c r="S905" s="5"/>
      <c r="T905" s="15"/>
    </row>
    <row r="906" customFormat="false" ht="18" hidden="false" customHeight="true" outlineLevel="0" collapsed="false">
      <c r="A906" s="16" t="str">
        <f aca="false">IF(B906&lt;&gt;"",ROW()-2,"")</f>
        <v/>
      </c>
      <c r="B906" s="17"/>
      <c r="C906" s="17"/>
      <c r="D906" s="18"/>
      <c r="E906" s="19"/>
      <c r="F906" s="18"/>
      <c r="G906" s="20"/>
      <c r="H906" s="21"/>
      <c r="I906" s="21"/>
      <c r="J906" s="22"/>
      <c r="K906" s="23" t="str">
        <f aca="false">IF(H906*J906=0,"",H906*J906)</f>
        <v/>
      </c>
      <c r="L906" s="24"/>
      <c r="M906" s="24"/>
      <c r="N906" s="23" t="str">
        <f aca="false">IF(L906+M906=0,"",L906+M906)</f>
        <v/>
      </c>
      <c r="O906" s="25" t="str">
        <f aca="false">IF(OR(H906="",I906="",J906=""),"",IF(F906="Long",(I906-H906)*J906*IF(G906="",1,G906),(H906-I906)*J906*IF(G906="",1,G906)))</f>
        <v/>
      </c>
      <c r="P906" s="26" t="str">
        <f aca="false">IF(O906="","",O906-IF(N906="",0,N906))</f>
        <v/>
      </c>
      <c r="Q906" s="27" t="str">
        <f aca="false">IFERROR(IF(P906="","",P906/K906),"")</f>
        <v/>
      </c>
      <c r="R906" s="19"/>
      <c r="S906" s="18"/>
      <c r="T906" s="28"/>
    </row>
    <row r="907" customFormat="false" ht="18" hidden="false" customHeight="true" outlineLevel="0" collapsed="false">
      <c r="A907" s="3" t="str">
        <f aca="false">IF(B907&lt;&gt;"",ROW()-2,"")</f>
        <v/>
      </c>
      <c r="B907" s="4"/>
      <c r="C907" s="4"/>
      <c r="D907" s="5"/>
      <c r="E907" s="6"/>
      <c r="F907" s="5"/>
      <c r="G907" s="7"/>
      <c r="H907" s="8"/>
      <c r="I907" s="8"/>
      <c r="J907" s="9"/>
      <c r="K907" s="10" t="str">
        <f aca="false">IF(H907*J907=0,"",H907*J907)</f>
        <v/>
      </c>
      <c r="L907" s="11"/>
      <c r="M907" s="11"/>
      <c r="N907" s="10" t="str">
        <f aca="false">IF(L907+M907=0,"",L907+M907)</f>
        <v/>
      </c>
      <c r="O907" s="12" t="str">
        <f aca="false">IF(OR(H907="",I907="",J907=""),"",IF(F907="Long",(I907-H907)*J907*IF(G907="",1,G907),(H907-I907)*J907*IF(G907="",1,G907)))</f>
        <v/>
      </c>
      <c r="P907" s="13" t="str">
        <f aca="false">IF(O907="","",O907-IF(N907="",0,N907))</f>
        <v/>
      </c>
      <c r="Q907" s="14" t="str">
        <f aca="false">IFERROR(IF(P907="","",P907/K907),"")</f>
        <v/>
      </c>
      <c r="R907" s="6"/>
      <c r="S907" s="5"/>
      <c r="T907" s="15"/>
    </row>
    <row r="908" customFormat="false" ht="18" hidden="false" customHeight="true" outlineLevel="0" collapsed="false">
      <c r="A908" s="16" t="str">
        <f aca="false">IF(B908&lt;&gt;"",ROW()-2,"")</f>
        <v/>
      </c>
      <c r="B908" s="17"/>
      <c r="C908" s="17"/>
      <c r="D908" s="18"/>
      <c r="E908" s="19"/>
      <c r="F908" s="18"/>
      <c r="G908" s="20"/>
      <c r="H908" s="21"/>
      <c r="I908" s="21"/>
      <c r="J908" s="22"/>
      <c r="K908" s="23" t="str">
        <f aca="false">IF(H908*J908=0,"",H908*J908)</f>
        <v/>
      </c>
      <c r="L908" s="24"/>
      <c r="M908" s="24"/>
      <c r="N908" s="23" t="str">
        <f aca="false">IF(L908+M908=0,"",L908+M908)</f>
        <v/>
      </c>
      <c r="O908" s="25" t="str">
        <f aca="false">IF(OR(H908="",I908="",J908=""),"",IF(F908="Long",(I908-H908)*J908*IF(G908="",1,G908),(H908-I908)*J908*IF(G908="",1,G908)))</f>
        <v/>
      </c>
      <c r="P908" s="26" t="str">
        <f aca="false">IF(O908="","",O908-IF(N908="",0,N908))</f>
        <v/>
      </c>
      <c r="Q908" s="27" t="str">
        <f aca="false">IFERROR(IF(P908="","",P908/K908),"")</f>
        <v/>
      </c>
      <c r="R908" s="19"/>
      <c r="S908" s="18"/>
      <c r="T908" s="28"/>
    </row>
    <row r="909" customFormat="false" ht="18" hidden="false" customHeight="true" outlineLevel="0" collapsed="false">
      <c r="A909" s="3" t="str">
        <f aca="false">IF(B909&lt;&gt;"",ROW()-2,"")</f>
        <v/>
      </c>
      <c r="B909" s="4"/>
      <c r="C909" s="4"/>
      <c r="D909" s="5"/>
      <c r="E909" s="6"/>
      <c r="F909" s="5"/>
      <c r="G909" s="7"/>
      <c r="H909" s="8"/>
      <c r="I909" s="8"/>
      <c r="J909" s="9"/>
      <c r="K909" s="10" t="str">
        <f aca="false">IF(H909*J909=0,"",H909*J909)</f>
        <v/>
      </c>
      <c r="L909" s="11"/>
      <c r="M909" s="11"/>
      <c r="N909" s="10" t="str">
        <f aca="false">IF(L909+M909=0,"",L909+M909)</f>
        <v/>
      </c>
      <c r="O909" s="12" t="str">
        <f aca="false">IF(OR(H909="",I909="",J909=""),"",IF(F909="Long",(I909-H909)*J909*IF(G909="",1,G909),(H909-I909)*J909*IF(G909="",1,G909)))</f>
        <v/>
      </c>
      <c r="P909" s="13" t="str">
        <f aca="false">IF(O909="","",O909-IF(N909="",0,N909))</f>
        <v/>
      </c>
      <c r="Q909" s="14" t="str">
        <f aca="false">IFERROR(IF(P909="","",P909/K909),"")</f>
        <v/>
      </c>
      <c r="R909" s="6"/>
      <c r="S909" s="5"/>
      <c r="T909" s="15"/>
    </row>
    <row r="910" customFormat="false" ht="18" hidden="false" customHeight="true" outlineLevel="0" collapsed="false">
      <c r="A910" s="16" t="str">
        <f aca="false">IF(B910&lt;&gt;"",ROW()-2,"")</f>
        <v/>
      </c>
      <c r="B910" s="17"/>
      <c r="C910" s="17"/>
      <c r="D910" s="18"/>
      <c r="E910" s="19"/>
      <c r="F910" s="18"/>
      <c r="G910" s="20"/>
      <c r="H910" s="21"/>
      <c r="I910" s="21"/>
      <c r="J910" s="22"/>
      <c r="K910" s="23" t="str">
        <f aca="false">IF(H910*J910=0,"",H910*J910)</f>
        <v/>
      </c>
      <c r="L910" s="24"/>
      <c r="M910" s="24"/>
      <c r="N910" s="23" t="str">
        <f aca="false">IF(L910+M910=0,"",L910+M910)</f>
        <v/>
      </c>
      <c r="O910" s="25" t="str">
        <f aca="false">IF(OR(H910="",I910="",J910=""),"",IF(F910="Long",(I910-H910)*J910*IF(G910="",1,G910),(H910-I910)*J910*IF(G910="",1,G910)))</f>
        <v/>
      </c>
      <c r="P910" s="26" t="str">
        <f aca="false">IF(O910="","",O910-IF(N910="",0,N910))</f>
        <v/>
      </c>
      <c r="Q910" s="27" t="str">
        <f aca="false">IFERROR(IF(P910="","",P910/K910),"")</f>
        <v/>
      </c>
      <c r="R910" s="19"/>
      <c r="S910" s="18"/>
      <c r="T910" s="28"/>
    </row>
    <row r="911" customFormat="false" ht="18" hidden="false" customHeight="true" outlineLevel="0" collapsed="false">
      <c r="A911" s="3" t="str">
        <f aca="false">IF(B911&lt;&gt;"",ROW()-2,"")</f>
        <v/>
      </c>
      <c r="B911" s="4"/>
      <c r="C911" s="4"/>
      <c r="D911" s="5"/>
      <c r="E911" s="6"/>
      <c r="F911" s="5"/>
      <c r="G911" s="7"/>
      <c r="H911" s="8"/>
      <c r="I911" s="8"/>
      <c r="J911" s="9"/>
      <c r="K911" s="10" t="str">
        <f aca="false">IF(H911*J911=0,"",H911*J911)</f>
        <v/>
      </c>
      <c r="L911" s="11"/>
      <c r="M911" s="11"/>
      <c r="N911" s="10" t="str">
        <f aca="false">IF(L911+M911=0,"",L911+M911)</f>
        <v/>
      </c>
      <c r="O911" s="12" t="str">
        <f aca="false">IF(OR(H911="",I911="",J911=""),"",IF(F911="Long",(I911-H911)*J911*IF(G911="",1,G911),(H911-I911)*J911*IF(G911="",1,G911)))</f>
        <v/>
      </c>
      <c r="P911" s="13" t="str">
        <f aca="false">IF(O911="","",O911-IF(N911="",0,N911))</f>
        <v/>
      </c>
      <c r="Q911" s="14" t="str">
        <f aca="false">IFERROR(IF(P911="","",P911/K911),"")</f>
        <v/>
      </c>
      <c r="R911" s="6"/>
      <c r="S911" s="5"/>
      <c r="T911" s="15"/>
    </row>
    <row r="912" customFormat="false" ht="18" hidden="false" customHeight="true" outlineLevel="0" collapsed="false">
      <c r="A912" s="16" t="str">
        <f aca="false">IF(B912&lt;&gt;"",ROW()-2,"")</f>
        <v/>
      </c>
      <c r="B912" s="17"/>
      <c r="C912" s="17"/>
      <c r="D912" s="18"/>
      <c r="E912" s="19"/>
      <c r="F912" s="18"/>
      <c r="G912" s="20"/>
      <c r="H912" s="21"/>
      <c r="I912" s="21"/>
      <c r="J912" s="22"/>
      <c r="K912" s="23" t="str">
        <f aca="false">IF(H912*J912=0,"",H912*J912)</f>
        <v/>
      </c>
      <c r="L912" s="24"/>
      <c r="M912" s="24"/>
      <c r="N912" s="23" t="str">
        <f aca="false">IF(L912+M912=0,"",L912+M912)</f>
        <v/>
      </c>
      <c r="O912" s="25" t="str">
        <f aca="false">IF(OR(H912="",I912="",J912=""),"",IF(F912="Long",(I912-H912)*J912*IF(G912="",1,G912),(H912-I912)*J912*IF(G912="",1,G912)))</f>
        <v/>
      </c>
      <c r="P912" s="26" t="str">
        <f aca="false">IF(O912="","",O912-IF(N912="",0,N912))</f>
        <v/>
      </c>
      <c r="Q912" s="27" t="str">
        <f aca="false">IFERROR(IF(P912="","",P912/K912),"")</f>
        <v/>
      </c>
      <c r="R912" s="19"/>
      <c r="S912" s="18"/>
      <c r="T912" s="28"/>
    </row>
    <row r="913" customFormat="false" ht="18" hidden="false" customHeight="true" outlineLevel="0" collapsed="false">
      <c r="A913" s="3" t="str">
        <f aca="false">IF(B913&lt;&gt;"",ROW()-2,"")</f>
        <v/>
      </c>
      <c r="B913" s="4"/>
      <c r="C913" s="4"/>
      <c r="D913" s="5"/>
      <c r="E913" s="6"/>
      <c r="F913" s="5"/>
      <c r="G913" s="7"/>
      <c r="H913" s="8"/>
      <c r="I913" s="8"/>
      <c r="J913" s="9"/>
      <c r="K913" s="10" t="str">
        <f aca="false">IF(H913*J913=0,"",H913*J913)</f>
        <v/>
      </c>
      <c r="L913" s="11"/>
      <c r="M913" s="11"/>
      <c r="N913" s="10" t="str">
        <f aca="false">IF(L913+M913=0,"",L913+M913)</f>
        <v/>
      </c>
      <c r="O913" s="12" t="str">
        <f aca="false">IF(OR(H913="",I913="",J913=""),"",IF(F913="Long",(I913-H913)*J913*IF(G913="",1,G913),(H913-I913)*J913*IF(G913="",1,G913)))</f>
        <v/>
      </c>
      <c r="P913" s="13" t="str">
        <f aca="false">IF(O913="","",O913-IF(N913="",0,N913))</f>
        <v/>
      </c>
      <c r="Q913" s="14" t="str">
        <f aca="false">IFERROR(IF(P913="","",P913/K913),"")</f>
        <v/>
      </c>
      <c r="R913" s="6"/>
      <c r="S913" s="5"/>
      <c r="T913" s="15"/>
    </row>
    <row r="914" customFormat="false" ht="18" hidden="false" customHeight="true" outlineLevel="0" collapsed="false">
      <c r="A914" s="16" t="str">
        <f aca="false">IF(B914&lt;&gt;"",ROW()-2,"")</f>
        <v/>
      </c>
      <c r="B914" s="17"/>
      <c r="C914" s="17"/>
      <c r="D914" s="18"/>
      <c r="E914" s="19"/>
      <c r="F914" s="18"/>
      <c r="G914" s="20"/>
      <c r="H914" s="21"/>
      <c r="I914" s="21"/>
      <c r="J914" s="22"/>
      <c r="K914" s="23" t="str">
        <f aca="false">IF(H914*J914=0,"",H914*J914)</f>
        <v/>
      </c>
      <c r="L914" s="24"/>
      <c r="M914" s="24"/>
      <c r="N914" s="23" t="str">
        <f aca="false">IF(L914+M914=0,"",L914+M914)</f>
        <v/>
      </c>
      <c r="O914" s="25" t="str">
        <f aca="false">IF(OR(H914="",I914="",J914=""),"",IF(F914="Long",(I914-H914)*J914*IF(G914="",1,G914),(H914-I914)*J914*IF(G914="",1,G914)))</f>
        <v/>
      </c>
      <c r="P914" s="26" t="str">
        <f aca="false">IF(O914="","",O914-IF(N914="",0,N914))</f>
        <v/>
      </c>
      <c r="Q914" s="27" t="str">
        <f aca="false">IFERROR(IF(P914="","",P914/K914),"")</f>
        <v/>
      </c>
      <c r="R914" s="19"/>
      <c r="S914" s="18"/>
      <c r="T914" s="28"/>
    </row>
    <row r="915" customFormat="false" ht="18" hidden="false" customHeight="true" outlineLevel="0" collapsed="false">
      <c r="A915" s="3" t="str">
        <f aca="false">IF(B915&lt;&gt;"",ROW()-2,"")</f>
        <v/>
      </c>
      <c r="B915" s="4"/>
      <c r="C915" s="4"/>
      <c r="D915" s="5"/>
      <c r="E915" s="6"/>
      <c r="F915" s="5"/>
      <c r="G915" s="7"/>
      <c r="H915" s="8"/>
      <c r="I915" s="8"/>
      <c r="J915" s="9"/>
      <c r="K915" s="10" t="str">
        <f aca="false">IF(H915*J915=0,"",H915*J915)</f>
        <v/>
      </c>
      <c r="L915" s="11"/>
      <c r="M915" s="11"/>
      <c r="N915" s="10" t="str">
        <f aca="false">IF(L915+M915=0,"",L915+M915)</f>
        <v/>
      </c>
      <c r="O915" s="12" t="str">
        <f aca="false">IF(OR(H915="",I915="",J915=""),"",IF(F915="Long",(I915-H915)*J915*IF(G915="",1,G915),(H915-I915)*J915*IF(G915="",1,G915)))</f>
        <v/>
      </c>
      <c r="P915" s="13" t="str">
        <f aca="false">IF(O915="","",O915-IF(N915="",0,N915))</f>
        <v/>
      </c>
      <c r="Q915" s="14" t="str">
        <f aca="false">IFERROR(IF(P915="","",P915/K915),"")</f>
        <v/>
      </c>
      <c r="R915" s="6"/>
      <c r="S915" s="5"/>
      <c r="T915" s="15"/>
    </row>
    <row r="916" customFormat="false" ht="18" hidden="false" customHeight="true" outlineLevel="0" collapsed="false">
      <c r="A916" s="16" t="str">
        <f aca="false">IF(B916&lt;&gt;"",ROW()-2,"")</f>
        <v/>
      </c>
      <c r="B916" s="17"/>
      <c r="C916" s="17"/>
      <c r="D916" s="18"/>
      <c r="E916" s="19"/>
      <c r="F916" s="18"/>
      <c r="G916" s="20"/>
      <c r="H916" s="21"/>
      <c r="I916" s="21"/>
      <c r="J916" s="22"/>
      <c r="K916" s="23" t="str">
        <f aca="false">IF(H916*J916=0,"",H916*J916)</f>
        <v/>
      </c>
      <c r="L916" s="24"/>
      <c r="M916" s="24"/>
      <c r="N916" s="23" t="str">
        <f aca="false">IF(L916+M916=0,"",L916+M916)</f>
        <v/>
      </c>
      <c r="O916" s="25" t="str">
        <f aca="false">IF(OR(H916="",I916="",J916=""),"",IF(F916="Long",(I916-H916)*J916*IF(G916="",1,G916),(H916-I916)*J916*IF(G916="",1,G916)))</f>
        <v/>
      </c>
      <c r="P916" s="26" t="str">
        <f aca="false">IF(O916="","",O916-IF(N916="",0,N916))</f>
        <v/>
      </c>
      <c r="Q916" s="27" t="str">
        <f aca="false">IFERROR(IF(P916="","",P916/K916),"")</f>
        <v/>
      </c>
      <c r="R916" s="19"/>
      <c r="S916" s="18"/>
      <c r="T916" s="28"/>
    </row>
    <row r="917" customFormat="false" ht="18" hidden="false" customHeight="true" outlineLevel="0" collapsed="false">
      <c r="A917" s="3" t="str">
        <f aca="false">IF(B917&lt;&gt;"",ROW()-2,"")</f>
        <v/>
      </c>
      <c r="B917" s="4"/>
      <c r="C917" s="4"/>
      <c r="D917" s="5"/>
      <c r="E917" s="6"/>
      <c r="F917" s="5"/>
      <c r="G917" s="7"/>
      <c r="H917" s="8"/>
      <c r="I917" s="8"/>
      <c r="J917" s="9"/>
      <c r="K917" s="10" t="str">
        <f aca="false">IF(H917*J917=0,"",H917*J917)</f>
        <v/>
      </c>
      <c r="L917" s="11"/>
      <c r="M917" s="11"/>
      <c r="N917" s="10" t="str">
        <f aca="false">IF(L917+M917=0,"",L917+M917)</f>
        <v/>
      </c>
      <c r="O917" s="12" t="str">
        <f aca="false">IF(OR(H917="",I917="",J917=""),"",IF(F917="Long",(I917-H917)*J917*IF(G917="",1,G917),(H917-I917)*J917*IF(G917="",1,G917)))</f>
        <v/>
      </c>
      <c r="P917" s="13" t="str">
        <f aca="false">IF(O917="","",O917-IF(N917="",0,N917))</f>
        <v/>
      </c>
      <c r="Q917" s="14" t="str">
        <f aca="false">IFERROR(IF(P917="","",P917/K917),"")</f>
        <v/>
      </c>
      <c r="R917" s="6"/>
      <c r="S917" s="5"/>
      <c r="T917" s="15"/>
    </row>
    <row r="918" customFormat="false" ht="18" hidden="false" customHeight="true" outlineLevel="0" collapsed="false">
      <c r="A918" s="16" t="str">
        <f aca="false">IF(B918&lt;&gt;"",ROW()-2,"")</f>
        <v/>
      </c>
      <c r="B918" s="17"/>
      <c r="C918" s="17"/>
      <c r="D918" s="18"/>
      <c r="E918" s="19"/>
      <c r="F918" s="18"/>
      <c r="G918" s="20"/>
      <c r="H918" s="21"/>
      <c r="I918" s="21"/>
      <c r="J918" s="22"/>
      <c r="K918" s="23" t="str">
        <f aca="false">IF(H918*J918=0,"",H918*J918)</f>
        <v/>
      </c>
      <c r="L918" s="24"/>
      <c r="M918" s="24"/>
      <c r="N918" s="23" t="str">
        <f aca="false">IF(L918+M918=0,"",L918+M918)</f>
        <v/>
      </c>
      <c r="O918" s="25" t="str">
        <f aca="false">IF(OR(H918="",I918="",J918=""),"",IF(F918="Long",(I918-H918)*J918*IF(G918="",1,G918),(H918-I918)*J918*IF(G918="",1,G918)))</f>
        <v/>
      </c>
      <c r="P918" s="26" t="str">
        <f aca="false">IF(O918="","",O918-IF(N918="",0,N918))</f>
        <v/>
      </c>
      <c r="Q918" s="27" t="str">
        <f aca="false">IFERROR(IF(P918="","",P918/K918),"")</f>
        <v/>
      </c>
      <c r="R918" s="19"/>
      <c r="S918" s="18"/>
      <c r="T918" s="28"/>
    </row>
    <row r="919" customFormat="false" ht="18" hidden="false" customHeight="true" outlineLevel="0" collapsed="false">
      <c r="A919" s="3" t="str">
        <f aca="false">IF(B919&lt;&gt;"",ROW()-2,"")</f>
        <v/>
      </c>
      <c r="B919" s="4"/>
      <c r="C919" s="4"/>
      <c r="D919" s="5"/>
      <c r="E919" s="6"/>
      <c r="F919" s="5"/>
      <c r="G919" s="7"/>
      <c r="H919" s="8"/>
      <c r="I919" s="8"/>
      <c r="J919" s="9"/>
      <c r="K919" s="10" t="str">
        <f aca="false">IF(H919*J919=0,"",H919*J919)</f>
        <v/>
      </c>
      <c r="L919" s="11"/>
      <c r="M919" s="11"/>
      <c r="N919" s="10" t="str">
        <f aca="false">IF(L919+M919=0,"",L919+M919)</f>
        <v/>
      </c>
      <c r="O919" s="12" t="str">
        <f aca="false">IF(OR(H919="",I919="",J919=""),"",IF(F919="Long",(I919-H919)*J919*IF(G919="",1,G919),(H919-I919)*J919*IF(G919="",1,G919)))</f>
        <v/>
      </c>
      <c r="P919" s="13" t="str">
        <f aca="false">IF(O919="","",O919-IF(N919="",0,N919))</f>
        <v/>
      </c>
      <c r="Q919" s="14" t="str">
        <f aca="false">IFERROR(IF(P919="","",P919/K919),"")</f>
        <v/>
      </c>
      <c r="R919" s="6"/>
      <c r="S919" s="5"/>
      <c r="T919" s="15"/>
    </row>
    <row r="920" customFormat="false" ht="18" hidden="false" customHeight="true" outlineLevel="0" collapsed="false">
      <c r="A920" s="16" t="str">
        <f aca="false">IF(B920&lt;&gt;"",ROW()-2,"")</f>
        <v/>
      </c>
      <c r="B920" s="17"/>
      <c r="C920" s="17"/>
      <c r="D920" s="18"/>
      <c r="E920" s="19"/>
      <c r="F920" s="18"/>
      <c r="G920" s="20"/>
      <c r="H920" s="21"/>
      <c r="I920" s="21"/>
      <c r="J920" s="22"/>
      <c r="K920" s="23" t="str">
        <f aca="false">IF(H920*J920=0,"",H920*J920)</f>
        <v/>
      </c>
      <c r="L920" s="24"/>
      <c r="M920" s="24"/>
      <c r="N920" s="23" t="str">
        <f aca="false">IF(L920+M920=0,"",L920+M920)</f>
        <v/>
      </c>
      <c r="O920" s="25" t="str">
        <f aca="false">IF(OR(H920="",I920="",J920=""),"",IF(F920="Long",(I920-H920)*J920*IF(G920="",1,G920),(H920-I920)*J920*IF(G920="",1,G920)))</f>
        <v/>
      </c>
      <c r="P920" s="26" t="str">
        <f aca="false">IF(O920="","",O920-IF(N920="",0,N920))</f>
        <v/>
      </c>
      <c r="Q920" s="27" t="str">
        <f aca="false">IFERROR(IF(P920="","",P920/K920),"")</f>
        <v/>
      </c>
      <c r="R920" s="19"/>
      <c r="S920" s="18"/>
      <c r="T920" s="28"/>
    </row>
    <row r="921" customFormat="false" ht="18" hidden="false" customHeight="true" outlineLevel="0" collapsed="false">
      <c r="A921" s="3" t="str">
        <f aca="false">IF(B921&lt;&gt;"",ROW()-2,"")</f>
        <v/>
      </c>
      <c r="B921" s="4"/>
      <c r="C921" s="4"/>
      <c r="D921" s="5"/>
      <c r="E921" s="6"/>
      <c r="F921" s="5"/>
      <c r="G921" s="7"/>
      <c r="H921" s="8"/>
      <c r="I921" s="8"/>
      <c r="J921" s="9"/>
      <c r="K921" s="10" t="str">
        <f aca="false">IF(H921*J921=0,"",H921*J921)</f>
        <v/>
      </c>
      <c r="L921" s="11"/>
      <c r="M921" s="11"/>
      <c r="N921" s="10" t="str">
        <f aca="false">IF(L921+M921=0,"",L921+M921)</f>
        <v/>
      </c>
      <c r="O921" s="12" t="str">
        <f aca="false">IF(OR(H921="",I921="",J921=""),"",IF(F921="Long",(I921-H921)*J921*IF(G921="",1,G921),(H921-I921)*J921*IF(G921="",1,G921)))</f>
        <v/>
      </c>
      <c r="P921" s="13" t="str">
        <f aca="false">IF(O921="","",O921-IF(N921="",0,N921))</f>
        <v/>
      </c>
      <c r="Q921" s="14" t="str">
        <f aca="false">IFERROR(IF(P921="","",P921/K921),"")</f>
        <v/>
      </c>
      <c r="R921" s="6"/>
      <c r="S921" s="5"/>
      <c r="T921" s="15"/>
    </row>
    <row r="922" customFormat="false" ht="18" hidden="false" customHeight="true" outlineLevel="0" collapsed="false">
      <c r="A922" s="16" t="str">
        <f aca="false">IF(B922&lt;&gt;"",ROW()-2,"")</f>
        <v/>
      </c>
      <c r="B922" s="17"/>
      <c r="C922" s="17"/>
      <c r="D922" s="18"/>
      <c r="E922" s="19"/>
      <c r="F922" s="18"/>
      <c r="G922" s="20"/>
      <c r="H922" s="21"/>
      <c r="I922" s="21"/>
      <c r="J922" s="22"/>
      <c r="K922" s="23" t="str">
        <f aca="false">IF(H922*J922=0,"",H922*J922)</f>
        <v/>
      </c>
      <c r="L922" s="24"/>
      <c r="M922" s="24"/>
      <c r="N922" s="23" t="str">
        <f aca="false">IF(L922+M922=0,"",L922+M922)</f>
        <v/>
      </c>
      <c r="O922" s="25" t="str">
        <f aca="false">IF(OR(H922="",I922="",J922=""),"",IF(F922="Long",(I922-H922)*J922*IF(G922="",1,G922),(H922-I922)*J922*IF(G922="",1,G922)))</f>
        <v/>
      </c>
      <c r="P922" s="26" t="str">
        <f aca="false">IF(O922="","",O922-IF(N922="",0,N922))</f>
        <v/>
      </c>
      <c r="Q922" s="27" t="str">
        <f aca="false">IFERROR(IF(P922="","",P922/K922),"")</f>
        <v/>
      </c>
      <c r="R922" s="19"/>
      <c r="S922" s="18"/>
      <c r="T922" s="28"/>
    </row>
    <row r="923" customFormat="false" ht="18" hidden="false" customHeight="true" outlineLevel="0" collapsed="false">
      <c r="A923" s="3" t="str">
        <f aca="false">IF(B923&lt;&gt;"",ROW()-2,"")</f>
        <v/>
      </c>
      <c r="B923" s="4"/>
      <c r="C923" s="4"/>
      <c r="D923" s="5"/>
      <c r="E923" s="6"/>
      <c r="F923" s="5"/>
      <c r="G923" s="7"/>
      <c r="H923" s="8"/>
      <c r="I923" s="8"/>
      <c r="J923" s="9"/>
      <c r="K923" s="10" t="str">
        <f aca="false">IF(H923*J923=0,"",H923*J923)</f>
        <v/>
      </c>
      <c r="L923" s="11"/>
      <c r="M923" s="11"/>
      <c r="N923" s="10" t="str">
        <f aca="false">IF(L923+M923=0,"",L923+M923)</f>
        <v/>
      </c>
      <c r="O923" s="12" t="str">
        <f aca="false">IF(OR(H923="",I923="",J923=""),"",IF(F923="Long",(I923-H923)*J923*IF(G923="",1,G923),(H923-I923)*J923*IF(G923="",1,G923)))</f>
        <v/>
      </c>
      <c r="P923" s="13" t="str">
        <f aca="false">IF(O923="","",O923-IF(N923="",0,N923))</f>
        <v/>
      </c>
      <c r="Q923" s="14" t="str">
        <f aca="false">IFERROR(IF(P923="","",P923/K923),"")</f>
        <v/>
      </c>
      <c r="R923" s="6"/>
      <c r="S923" s="5"/>
      <c r="T923" s="15"/>
    </row>
    <row r="924" customFormat="false" ht="18" hidden="false" customHeight="true" outlineLevel="0" collapsed="false">
      <c r="A924" s="16" t="str">
        <f aca="false">IF(B924&lt;&gt;"",ROW()-2,"")</f>
        <v/>
      </c>
      <c r="B924" s="17"/>
      <c r="C924" s="17"/>
      <c r="D924" s="18"/>
      <c r="E924" s="19"/>
      <c r="F924" s="18"/>
      <c r="G924" s="20"/>
      <c r="H924" s="21"/>
      <c r="I924" s="21"/>
      <c r="J924" s="22"/>
      <c r="K924" s="23" t="str">
        <f aca="false">IF(H924*J924=0,"",H924*J924)</f>
        <v/>
      </c>
      <c r="L924" s="24"/>
      <c r="M924" s="24"/>
      <c r="N924" s="23" t="str">
        <f aca="false">IF(L924+M924=0,"",L924+M924)</f>
        <v/>
      </c>
      <c r="O924" s="25" t="str">
        <f aca="false">IF(OR(H924="",I924="",J924=""),"",IF(F924="Long",(I924-H924)*J924*IF(G924="",1,G924),(H924-I924)*J924*IF(G924="",1,G924)))</f>
        <v/>
      </c>
      <c r="P924" s="26" t="str">
        <f aca="false">IF(O924="","",O924-IF(N924="",0,N924))</f>
        <v/>
      </c>
      <c r="Q924" s="27" t="str">
        <f aca="false">IFERROR(IF(P924="","",P924/K924),"")</f>
        <v/>
      </c>
      <c r="R924" s="19"/>
      <c r="S924" s="18"/>
      <c r="T924" s="28"/>
    </row>
    <row r="925" customFormat="false" ht="18" hidden="false" customHeight="true" outlineLevel="0" collapsed="false">
      <c r="A925" s="3" t="str">
        <f aca="false">IF(B925&lt;&gt;"",ROW()-2,"")</f>
        <v/>
      </c>
      <c r="B925" s="4"/>
      <c r="C925" s="4"/>
      <c r="D925" s="5"/>
      <c r="E925" s="6"/>
      <c r="F925" s="5"/>
      <c r="G925" s="7"/>
      <c r="H925" s="8"/>
      <c r="I925" s="8"/>
      <c r="J925" s="9"/>
      <c r="K925" s="10" t="str">
        <f aca="false">IF(H925*J925=0,"",H925*J925)</f>
        <v/>
      </c>
      <c r="L925" s="11"/>
      <c r="M925" s="11"/>
      <c r="N925" s="10" t="str">
        <f aca="false">IF(L925+M925=0,"",L925+M925)</f>
        <v/>
      </c>
      <c r="O925" s="12" t="str">
        <f aca="false">IF(OR(H925="",I925="",J925=""),"",IF(F925="Long",(I925-H925)*J925*IF(G925="",1,G925),(H925-I925)*J925*IF(G925="",1,G925)))</f>
        <v/>
      </c>
      <c r="P925" s="13" t="str">
        <f aca="false">IF(O925="","",O925-IF(N925="",0,N925))</f>
        <v/>
      </c>
      <c r="Q925" s="14" t="str">
        <f aca="false">IFERROR(IF(P925="","",P925/K925),"")</f>
        <v/>
      </c>
      <c r="R925" s="6"/>
      <c r="S925" s="5"/>
      <c r="T925" s="15"/>
    </row>
    <row r="926" customFormat="false" ht="18" hidden="false" customHeight="true" outlineLevel="0" collapsed="false">
      <c r="A926" s="16" t="str">
        <f aca="false">IF(B926&lt;&gt;"",ROW()-2,"")</f>
        <v/>
      </c>
      <c r="B926" s="17"/>
      <c r="C926" s="17"/>
      <c r="D926" s="18"/>
      <c r="E926" s="19"/>
      <c r="F926" s="18"/>
      <c r="G926" s="20"/>
      <c r="H926" s="21"/>
      <c r="I926" s="21"/>
      <c r="J926" s="22"/>
      <c r="K926" s="23" t="str">
        <f aca="false">IF(H926*J926=0,"",H926*J926)</f>
        <v/>
      </c>
      <c r="L926" s="24"/>
      <c r="M926" s="24"/>
      <c r="N926" s="23" t="str">
        <f aca="false">IF(L926+M926=0,"",L926+M926)</f>
        <v/>
      </c>
      <c r="O926" s="25" t="str">
        <f aca="false">IF(OR(H926="",I926="",J926=""),"",IF(F926="Long",(I926-H926)*J926*IF(G926="",1,G926),(H926-I926)*J926*IF(G926="",1,G926)))</f>
        <v/>
      </c>
      <c r="P926" s="26" t="str">
        <f aca="false">IF(O926="","",O926-IF(N926="",0,N926))</f>
        <v/>
      </c>
      <c r="Q926" s="27" t="str">
        <f aca="false">IFERROR(IF(P926="","",P926/K926),"")</f>
        <v/>
      </c>
      <c r="R926" s="19"/>
      <c r="S926" s="18"/>
      <c r="T926" s="28"/>
    </row>
    <row r="927" customFormat="false" ht="18" hidden="false" customHeight="true" outlineLevel="0" collapsed="false">
      <c r="A927" s="3" t="str">
        <f aca="false">IF(B927&lt;&gt;"",ROW()-2,"")</f>
        <v/>
      </c>
      <c r="B927" s="4"/>
      <c r="C927" s="4"/>
      <c r="D927" s="5"/>
      <c r="E927" s="6"/>
      <c r="F927" s="5"/>
      <c r="G927" s="7"/>
      <c r="H927" s="8"/>
      <c r="I927" s="8"/>
      <c r="J927" s="9"/>
      <c r="K927" s="10" t="str">
        <f aca="false">IF(H927*J927=0,"",H927*J927)</f>
        <v/>
      </c>
      <c r="L927" s="11"/>
      <c r="M927" s="11"/>
      <c r="N927" s="10" t="str">
        <f aca="false">IF(L927+M927=0,"",L927+M927)</f>
        <v/>
      </c>
      <c r="O927" s="12" t="str">
        <f aca="false">IF(OR(H927="",I927="",J927=""),"",IF(F927="Long",(I927-H927)*J927*IF(G927="",1,G927),(H927-I927)*J927*IF(G927="",1,G927)))</f>
        <v/>
      </c>
      <c r="P927" s="13" t="str">
        <f aca="false">IF(O927="","",O927-IF(N927="",0,N927))</f>
        <v/>
      </c>
      <c r="Q927" s="14" t="str">
        <f aca="false">IFERROR(IF(P927="","",P927/K927),"")</f>
        <v/>
      </c>
      <c r="R927" s="6"/>
      <c r="S927" s="5"/>
      <c r="T927" s="15"/>
    </row>
    <row r="928" customFormat="false" ht="18" hidden="false" customHeight="true" outlineLevel="0" collapsed="false">
      <c r="A928" s="16" t="str">
        <f aca="false">IF(B928&lt;&gt;"",ROW()-2,"")</f>
        <v/>
      </c>
      <c r="B928" s="17"/>
      <c r="C928" s="17"/>
      <c r="D928" s="18"/>
      <c r="E928" s="19"/>
      <c r="F928" s="18"/>
      <c r="G928" s="20"/>
      <c r="H928" s="21"/>
      <c r="I928" s="21"/>
      <c r="J928" s="22"/>
      <c r="K928" s="23" t="str">
        <f aca="false">IF(H928*J928=0,"",H928*J928)</f>
        <v/>
      </c>
      <c r="L928" s="24"/>
      <c r="M928" s="24"/>
      <c r="N928" s="23" t="str">
        <f aca="false">IF(L928+M928=0,"",L928+M928)</f>
        <v/>
      </c>
      <c r="O928" s="25" t="str">
        <f aca="false">IF(OR(H928="",I928="",J928=""),"",IF(F928="Long",(I928-H928)*J928*IF(G928="",1,G928),(H928-I928)*J928*IF(G928="",1,G928)))</f>
        <v/>
      </c>
      <c r="P928" s="26" t="str">
        <f aca="false">IF(O928="","",O928-IF(N928="",0,N928))</f>
        <v/>
      </c>
      <c r="Q928" s="27" t="str">
        <f aca="false">IFERROR(IF(P928="","",P928/K928),"")</f>
        <v/>
      </c>
      <c r="R928" s="19"/>
      <c r="S928" s="18"/>
      <c r="T928" s="28"/>
    </row>
    <row r="929" customFormat="false" ht="18" hidden="false" customHeight="true" outlineLevel="0" collapsed="false">
      <c r="A929" s="3" t="str">
        <f aca="false">IF(B929&lt;&gt;"",ROW()-2,"")</f>
        <v/>
      </c>
      <c r="B929" s="4"/>
      <c r="C929" s="4"/>
      <c r="D929" s="5"/>
      <c r="E929" s="6"/>
      <c r="F929" s="5"/>
      <c r="G929" s="7"/>
      <c r="H929" s="8"/>
      <c r="I929" s="8"/>
      <c r="J929" s="9"/>
      <c r="K929" s="10" t="str">
        <f aca="false">IF(H929*J929=0,"",H929*J929)</f>
        <v/>
      </c>
      <c r="L929" s="11"/>
      <c r="M929" s="11"/>
      <c r="N929" s="10" t="str">
        <f aca="false">IF(L929+M929=0,"",L929+M929)</f>
        <v/>
      </c>
      <c r="O929" s="12" t="str">
        <f aca="false">IF(OR(H929="",I929="",J929=""),"",IF(F929="Long",(I929-H929)*J929*IF(G929="",1,G929),(H929-I929)*J929*IF(G929="",1,G929)))</f>
        <v/>
      </c>
      <c r="P929" s="13" t="str">
        <f aca="false">IF(O929="","",O929-IF(N929="",0,N929))</f>
        <v/>
      </c>
      <c r="Q929" s="14" t="str">
        <f aca="false">IFERROR(IF(P929="","",P929/K929),"")</f>
        <v/>
      </c>
      <c r="R929" s="6"/>
      <c r="S929" s="5"/>
      <c r="T929" s="15"/>
    </row>
    <row r="930" customFormat="false" ht="18" hidden="false" customHeight="true" outlineLevel="0" collapsed="false">
      <c r="A930" s="16" t="str">
        <f aca="false">IF(B930&lt;&gt;"",ROW()-2,"")</f>
        <v/>
      </c>
      <c r="B930" s="17"/>
      <c r="C930" s="17"/>
      <c r="D930" s="18"/>
      <c r="E930" s="19"/>
      <c r="F930" s="18"/>
      <c r="G930" s="20"/>
      <c r="H930" s="21"/>
      <c r="I930" s="21"/>
      <c r="J930" s="22"/>
      <c r="K930" s="23" t="str">
        <f aca="false">IF(H930*J930=0,"",H930*J930)</f>
        <v/>
      </c>
      <c r="L930" s="24"/>
      <c r="M930" s="24"/>
      <c r="N930" s="23" t="str">
        <f aca="false">IF(L930+M930=0,"",L930+M930)</f>
        <v/>
      </c>
      <c r="O930" s="25" t="str">
        <f aca="false">IF(OR(H930="",I930="",J930=""),"",IF(F930="Long",(I930-H930)*J930*IF(G930="",1,G930),(H930-I930)*J930*IF(G930="",1,G930)))</f>
        <v/>
      </c>
      <c r="P930" s="26" t="str">
        <f aca="false">IF(O930="","",O930-IF(N930="",0,N930))</f>
        <v/>
      </c>
      <c r="Q930" s="27" t="str">
        <f aca="false">IFERROR(IF(P930="","",P930/K930),"")</f>
        <v/>
      </c>
      <c r="R930" s="19"/>
      <c r="S930" s="18"/>
      <c r="T930" s="28"/>
    </row>
    <row r="931" customFormat="false" ht="18" hidden="false" customHeight="true" outlineLevel="0" collapsed="false">
      <c r="A931" s="3" t="str">
        <f aca="false">IF(B931&lt;&gt;"",ROW()-2,"")</f>
        <v/>
      </c>
      <c r="B931" s="4"/>
      <c r="C931" s="4"/>
      <c r="D931" s="5"/>
      <c r="E931" s="6"/>
      <c r="F931" s="5"/>
      <c r="G931" s="7"/>
      <c r="H931" s="8"/>
      <c r="I931" s="8"/>
      <c r="J931" s="9"/>
      <c r="K931" s="10" t="str">
        <f aca="false">IF(H931*J931=0,"",H931*J931)</f>
        <v/>
      </c>
      <c r="L931" s="11"/>
      <c r="M931" s="11"/>
      <c r="N931" s="10" t="str">
        <f aca="false">IF(L931+M931=0,"",L931+M931)</f>
        <v/>
      </c>
      <c r="O931" s="12" t="str">
        <f aca="false">IF(OR(H931="",I931="",J931=""),"",IF(F931="Long",(I931-H931)*J931*IF(G931="",1,G931),(H931-I931)*J931*IF(G931="",1,G931)))</f>
        <v/>
      </c>
      <c r="P931" s="13" t="str">
        <f aca="false">IF(O931="","",O931-IF(N931="",0,N931))</f>
        <v/>
      </c>
      <c r="Q931" s="14" t="str">
        <f aca="false">IFERROR(IF(P931="","",P931/K931),"")</f>
        <v/>
      </c>
      <c r="R931" s="6"/>
      <c r="S931" s="5"/>
      <c r="T931" s="15"/>
    </row>
    <row r="932" customFormat="false" ht="18" hidden="false" customHeight="true" outlineLevel="0" collapsed="false">
      <c r="A932" s="16" t="str">
        <f aca="false">IF(B932&lt;&gt;"",ROW()-2,"")</f>
        <v/>
      </c>
      <c r="B932" s="17"/>
      <c r="C932" s="17"/>
      <c r="D932" s="18"/>
      <c r="E932" s="19"/>
      <c r="F932" s="18"/>
      <c r="G932" s="20"/>
      <c r="H932" s="21"/>
      <c r="I932" s="21"/>
      <c r="J932" s="22"/>
      <c r="K932" s="23" t="str">
        <f aca="false">IF(H932*J932=0,"",H932*J932)</f>
        <v/>
      </c>
      <c r="L932" s="24"/>
      <c r="M932" s="24"/>
      <c r="N932" s="23" t="str">
        <f aca="false">IF(L932+M932=0,"",L932+M932)</f>
        <v/>
      </c>
      <c r="O932" s="25" t="str">
        <f aca="false">IF(OR(H932="",I932="",J932=""),"",IF(F932="Long",(I932-H932)*J932*IF(G932="",1,G932),(H932-I932)*J932*IF(G932="",1,G932)))</f>
        <v/>
      </c>
      <c r="P932" s="26" t="str">
        <f aca="false">IF(O932="","",O932-IF(N932="",0,N932))</f>
        <v/>
      </c>
      <c r="Q932" s="27" t="str">
        <f aca="false">IFERROR(IF(P932="","",P932/K932),"")</f>
        <v/>
      </c>
      <c r="R932" s="19"/>
      <c r="S932" s="18"/>
      <c r="T932" s="28"/>
    </row>
    <row r="933" customFormat="false" ht="18" hidden="false" customHeight="true" outlineLevel="0" collapsed="false">
      <c r="A933" s="3" t="str">
        <f aca="false">IF(B933&lt;&gt;"",ROW()-2,"")</f>
        <v/>
      </c>
      <c r="B933" s="4"/>
      <c r="C933" s="4"/>
      <c r="D933" s="5"/>
      <c r="E933" s="6"/>
      <c r="F933" s="5"/>
      <c r="G933" s="7"/>
      <c r="H933" s="8"/>
      <c r="I933" s="8"/>
      <c r="J933" s="9"/>
      <c r="K933" s="10" t="str">
        <f aca="false">IF(H933*J933=0,"",H933*J933)</f>
        <v/>
      </c>
      <c r="L933" s="11"/>
      <c r="M933" s="11"/>
      <c r="N933" s="10" t="str">
        <f aca="false">IF(L933+M933=0,"",L933+M933)</f>
        <v/>
      </c>
      <c r="O933" s="12" t="str">
        <f aca="false">IF(OR(H933="",I933="",J933=""),"",IF(F933="Long",(I933-H933)*J933*IF(G933="",1,G933),(H933-I933)*J933*IF(G933="",1,G933)))</f>
        <v/>
      </c>
      <c r="P933" s="13" t="str">
        <f aca="false">IF(O933="","",O933-IF(N933="",0,N933))</f>
        <v/>
      </c>
      <c r="Q933" s="14" t="str">
        <f aca="false">IFERROR(IF(P933="","",P933/K933),"")</f>
        <v/>
      </c>
      <c r="R933" s="6"/>
      <c r="S933" s="5"/>
      <c r="T933" s="15"/>
    </row>
    <row r="934" customFormat="false" ht="18" hidden="false" customHeight="true" outlineLevel="0" collapsed="false">
      <c r="A934" s="16" t="str">
        <f aca="false">IF(B934&lt;&gt;"",ROW()-2,"")</f>
        <v/>
      </c>
      <c r="B934" s="17"/>
      <c r="C934" s="17"/>
      <c r="D934" s="18"/>
      <c r="E934" s="19"/>
      <c r="F934" s="18"/>
      <c r="G934" s="20"/>
      <c r="H934" s="21"/>
      <c r="I934" s="21"/>
      <c r="J934" s="22"/>
      <c r="K934" s="23" t="str">
        <f aca="false">IF(H934*J934=0,"",H934*J934)</f>
        <v/>
      </c>
      <c r="L934" s="24"/>
      <c r="M934" s="24"/>
      <c r="N934" s="23" t="str">
        <f aca="false">IF(L934+M934=0,"",L934+M934)</f>
        <v/>
      </c>
      <c r="O934" s="25" t="str">
        <f aca="false">IF(OR(H934="",I934="",J934=""),"",IF(F934="Long",(I934-H934)*J934*IF(G934="",1,G934),(H934-I934)*J934*IF(G934="",1,G934)))</f>
        <v/>
      </c>
      <c r="P934" s="26" t="str">
        <f aca="false">IF(O934="","",O934-IF(N934="",0,N934))</f>
        <v/>
      </c>
      <c r="Q934" s="27" t="str">
        <f aca="false">IFERROR(IF(P934="","",P934/K934),"")</f>
        <v/>
      </c>
      <c r="R934" s="19"/>
      <c r="S934" s="18"/>
      <c r="T934" s="28"/>
    </row>
    <row r="935" customFormat="false" ht="18" hidden="false" customHeight="true" outlineLevel="0" collapsed="false">
      <c r="A935" s="3" t="str">
        <f aca="false">IF(B935&lt;&gt;"",ROW()-2,"")</f>
        <v/>
      </c>
      <c r="B935" s="4"/>
      <c r="C935" s="4"/>
      <c r="D935" s="5"/>
      <c r="E935" s="6"/>
      <c r="F935" s="5"/>
      <c r="G935" s="7"/>
      <c r="H935" s="8"/>
      <c r="I935" s="8"/>
      <c r="J935" s="9"/>
      <c r="K935" s="10" t="str">
        <f aca="false">IF(H935*J935=0,"",H935*J935)</f>
        <v/>
      </c>
      <c r="L935" s="11"/>
      <c r="M935" s="11"/>
      <c r="N935" s="10" t="str">
        <f aca="false">IF(L935+M935=0,"",L935+M935)</f>
        <v/>
      </c>
      <c r="O935" s="12" t="str">
        <f aca="false">IF(OR(H935="",I935="",J935=""),"",IF(F935="Long",(I935-H935)*J935*IF(G935="",1,G935),(H935-I935)*J935*IF(G935="",1,G935)))</f>
        <v/>
      </c>
      <c r="P935" s="13" t="str">
        <f aca="false">IF(O935="","",O935-IF(N935="",0,N935))</f>
        <v/>
      </c>
      <c r="Q935" s="14" t="str">
        <f aca="false">IFERROR(IF(P935="","",P935/K935),"")</f>
        <v/>
      </c>
      <c r="R935" s="6"/>
      <c r="S935" s="5"/>
      <c r="T935" s="15"/>
    </row>
    <row r="936" customFormat="false" ht="18" hidden="false" customHeight="true" outlineLevel="0" collapsed="false">
      <c r="A936" s="16" t="str">
        <f aca="false">IF(B936&lt;&gt;"",ROW()-2,"")</f>
        <v/>
      </c>
      <c r="B936" s="17"/>
      <c r="C936" s="17"/>
      <c r="D936" s="18"/>
      <c r="E936" s="19"/>
      <c r="F936" s="18"/>
      <c r="G936" s="20"/>
      <c r="H936" s="21"/>
      <c r="I936" s="21"/>
      <c r="J936" s="22"/>
      <c r="K936" s="23" t="str">
        <f aca="false">IF(H936*J936=0,"",H936*J936)</f>
        <v/>
      </c>
      <c r="L936" s="24"/>
      <c r="M936" s="24"/>
      <c r="N936" s="23" t="str">
        <f aca="false">IF(L936+M936=0,"",L936+M936)</f>
        <v/>
      </c>
      <c r="O936" s="25" t="str">
        <f aca="false">IF(OR(H936="",I936="",J936=""),"",IF(F936="Long",(I936-H936)*J936*IF(G936="",1,G936),(H936-I936)*J936*IF(G936="",1,G936)))</f>
        <v/>
      </c>
      <c r="P936" s="26" t="str">
        <f aca="false">IF(O936="","",O936-IF(N936="",0,N936))</f>
        <v/>
      </c>
      <c r="Q936" s="27" t="str">
        <f aca="false">IFERROR(IF(P936="","",P936/K936),"")</f>
        <v/>
      </c>
      <c r="R936" s="19"/>
      <c r="S936" s="18"/>
      <c r="T936" s="28"/>
    </row>
    <row r="937" customFormat="false" ht="18" hidden="false" customHeight="true" outlineLevel="0" collapsed="false">
      <c r="A937" s="3" t="str">
        <f aca="false">IF(B937&lt;&gt;"",ROW()-2,"")</f>
        <v/>
      </c>
      <c r="B937" s="4"/>
      <c r="C937" s="4"/>
      <c r="D937" s="5"/>
      <c r="E937" s="6"/>
      <c r="F937" s="5"/>
      <c r="G937" s="7"/>
      <c r="H937" s="8"/>
      <c r="I937" s="8"/>
      <c r="J937" s="9"/>
      <c r="K937" s="10" t="str">
        <f aca="false">IF(H937*J937=0,"",H937*J937)</f>
        <v/>
      </c>
      <c r="L937" s="11"/>
      <c r="M937" s="11"/>
      <c r="N937" s="10" t="str">
        <f aca="false">IF(L937+M937=0,"",L937+M937)</f>
        <v/>
      </c>
      <c r="O937" s="12" t="str">
        <f aca="false">IF(OR(H937="",I937="",J937=""),"",IF(F937="Long",(I937-H937)*J937*IF(G937="",1,G937),(H937-I937)*J937*IF(G937="",1,G937)))</f>
        <v/>
      </c>
      <c r="P937" s="13" t="str">
        <f aca="false">IF(O937="","",O937-IF(N937="",0,N937))</f>
        <v/>
      </c>
      <c r="Q937" s="14" t="str">
        <f aca="false">IFERROR(IF(P937="","",P937/K937),"")</f>
        <v/>
      </c>
      <c r="R937" s="6"/>
      <c r="S937" s="5"/>
      <c r="T937" s="15"/>
    </row>
    <row r="938" customFormat="false" ht="18" hidden="false" customHeight="true" outlineLevel="0" collapsed="false">
      <c r="A938" s="16" t="str">
        <f aca="false">IF(B938&lt;&gt;"",ROW()-2,"")</f>
        <v/>
      </c>
      <c r="B938" s="17"/>
      <c r="C938" s="17"/>
      <c r="D938" s="18"/>
      <c r="E938" s="19"/>
      <c r="F938" s="18"/>
      <c r="G938" s="20"/>
      <c r="H938" s="21"/>
      <c r="I938" s="21"/>
      <c r="J938" s="22"/>
      <c r="K938" s="23" t="str">
        <f aca="false">IF(H938*J938=0,"",H938*J938)</f>
        <v/>
      </c>
      <c r="L938" s="24"/>
      <c r="M938" s="24"/>
      <c r="N938" s="23" t="str">
        <f aca="false">IF(L938+M938=0,"",L938+M938)</f>
        <v/>
      </c>
      <c r="O938" s="25" t="str">
        <f aca="false">IF(OR(H938="",I938="",J938=""),"",IF(F938="Long",(I938-H938)*J938*IF(G938="",1,G938),(H938-I938)*J938*IF(G938="",1,G938)))</f>
        <v/>
      </c>
      <c r="P938" s="26" t="str">
        <f aca="false">IF(O938="","",O938-IF(N938="",0,N938))</f>
        <v/>
      </c>
      <c r="Q938" s="27" t="str">
        <f aca="false">IFERROR(IF(P938="","",P938/K938),"")</f>
        <v/>
      </c>
      <c r="R938" s="19"/>
      <c r="S938" s="18"/>
      <c r="T938" s="28"/>
    </row>
    <row r="939" customFormat="false" ht="18" hidden="false" customHeight="true" outlineLevel="0" collapsed="false">
      <c r="A939" s="3" t="str">
        <f aca="false">IF(B939&lt;&gt;"",ROW()-2,"")</f>
        <v/>
      </c>
      <c r="B939" s="4"/>
      <c r="C939" s="4"/>
      <c r="D939" s="5"/>
      <c r="E939" s="6"/>
      <c r="F939" s="5"/>
      <c r="G939" s="7"/>
      <c r="H939" s="8"/>
      <c r="I939" s="8"/>
      <c r="J939" s="9"/>
      <c r="K939" s="10" t="str">
        <f aca="false">IF(H939*J939=0,"",H939*J939)</f>
        <v/>
      </c>
      <c r="L939" s="11"/>
      <c r="M939" s="11"/>
      <c r="N939" s="10" t="str">
        <f aca="false">IF(L939+M939=0,"",L939+M939)</f>
        <v/>
      </c>
      <c r="O939" s="12" t="str">
        <f aca="false">IF(OR(H939="",I939="",J939=""),"",IF(F939="Long",(I939-H939)*J939*IF(G939="",1,G939),(H939-I939)*J939*IF(G939="",1,G939)))</f>
        <v/>
      </c>
      <c r="P939" s="13" t="str">
        <f aca="false">IF(O939="","",O939-IF(N939="",0,N939))</f>
        <v/>
      </c>
      <c r="Q939" s="14" t="str">
        <f aca="false">IFERROR(IF(P939="","",P939/K939),"")</f>
        <v/>
      </c>
      <c r="R939" s="6"/>
      <c r="S939" s="5"/>
      <c r="T939" s="15"/>
    </row>
    <row r="940" customFormat="false" ht="18" hidden="false" customHeight="true" outlineLevel="0" collapsed="false">
      <c r="A940" s="16" t="str">
        <f aca="false">IF(B940&lt;&gt;"",ROW()-2,"")</f>
        <v/>
      </c>
      <c r="B940" s="17"/>
      <c r="C940" s="17"/>
      <c r="D940" s="18"/>
      <c r="E940" s="19"/>
      <c r="F940" s="18"/>
      <c r="G940" s="20"/>
      <c r="H940" s="21"/>
      <c r="I940" s="21"/>
      <c r="J940" s="22"/>
      <c r="K940" s="23" t="str">
        <f aca="false">IF(H940*J940=0,"",H940*J940)</f>
        <v/>
      </c>
      <c r="L940" s="24"/>
      <c r="M940" s="24"/>
      <c r="N940" s="23" t="str">
        <f aca="false">IF(L940+M940=0,"",L940+M940)</f>
        <v/>
      </c>
      <c r="O940" s="25" t="str">
        <f aca="false">IF(OR(H940="",I940="",J940=""),"",IF(F940="Long",(I940-H940)*J940*IF(G940="",1,G940),(H940-I940)*J940*IF(G940="",1,G940)))</f>
        <v/>
      </c>
      <c r="P940" s="26" t="str">
        <f aca="false">IF(O940="","",O940-IF(N940="",0,N940))</f>
        <v/>
      </c>
      <c r="Q940" s="27" t="str">
        <f aca="false">IFERROR(IF(P940="","",P940/K940),"")</f>
        <v/>
      </c>
      <c r="R940" s="19"/>
      <c r="S940" s="18"/>
      <c r="T940" s="28"/>
    </row>
    <row r="941" customFormat="false" ht="18" hidden="false" customHeight="true" outlineLevel="0" collapsed="false">
      <c r="A941" s="3" t="str">
        <f aca="false">IF(B941&lt;&gt;"",ROW()-2,"")</f>
        <v/>
      </c>
      <c r="B941" s="4"/>
      <c r="C941" s="4"/>
      <c r="D941" s="5"/>
      <c r="E941" s="6"/>
      <c r="F941" s="5"/>
      <c r="G941" s="7"/>
      <c r="H941" s="8"/>
      <c r="I941" s="8"/>
      <c r="J941" s="9"/>
      <c r="K941" s="10" t="str">
        <f aca="false">IF(H941*J941=0,"",H941*J941)</f>
        <v/>
      </c>
      <c r="L941" s="11"/>
      <c r="M941" s="11"/>
      <c r="N941" s="10" t="str">
        <f aca="false">IF(L941+M941=0,"",L941+M941)</f>
        <v/>
      </c>
      <c r="O941" s="12" t="str">
        <f aca="false">IF(OR(H941="",I941="",J941=""),"",IF(F941="Long",(I941-H941)*J941*IF(G941="",1,G941),(H941-I941)*J941*IF(G941="",1,G941)))</f>
        <v/>
      </c>
      <c r="P941" s="13" t="str">
        <f aca="false">IF(O941="","",O941-IF(N941="",0,N941))</f>
        <v/>
      </c>
      <c r="Q941" s="14" t="str">
        <f aca="false">IFERROR(IF(P941="","",P941/K941),"")</f>
        <v/>
      </c>
      <c r="R941" s="6"/>
      <c r="S941" s="5"/>
      <c r="T941" s="15"/>
    </row>
    <row r="942" customFormat="false" ht="18" hidden="false" customHeight="true" outlineLevel="0" collapsed="false">
      <c r="A942" s="16" t="str">
        <f aca="false">IF(B942&lt;&gt;"",ROW()-2,"")</f>
        <v/>
      </c>
      <c r="B942" s="17"/>
      <c r="C942" s="17"/>
      <c r="D942" s="18"/>
      <c r="E942" s="19"/>
      <c r="F942" s="18"/>
      <c r="G942" s="20"/>
      <c r="H942" s="21"/>
      <c r="I942" s="21"/>
      <c r="J942" s="22"/>
      <c r="K942" s="23" t="str">
        <f aca="false">IF(H942*J942=0,"",H942*J942)</f>
        <v/>
      </c>
      <c r="L942" s="24"/>
      <c r="M942" s="24"/>
      <c r="N942" s="23" t="str">
        <f aca="false">IF(L942+M942=0,"",L942+M942)</f>
        <v/>
      </c>
      <c r="O942" s="25" t="str">
        <f aca="false">IF(OR(H942="",I942="",J942=""),"",IF(F942="Long",(I942-H942)*J942*IF(G942="",1,G942),(H942-I942)*J942*IF(G942="",1,G942)))</f>
        <v/>
      </c>
      <c r="P942" s="26" t="str">
        <f aca="false">IF(O942="","",O942-IF(N942="",0,N942))</f>
        <v/>
      </c>
      <c r="Q942" s="27" t="str">
        <f aca="false">IFERROR(IF(P942="","",P942/K942),"")</f>
        <v/>
      </c>
      <c r="R942" s="19"/>
      <c r="S942" s="18"/>
      <c r="T942" s="28"/>
    </row>
    <row r="943" customFormat="false" ht="18" hidden="false" customHeight="true" outlineLevel="0" collapsed="false">
      <c r="A943" s="3" t="str">
        <f aca="false">IF(B943&lt;&gt;"",ROW()-2,"")</f>
        <v/>
      </c>
      <c r="B943" s="4"/>
      <c r="C943" s="4"/>
      <c r="D943" s="5"/>
      <c r="E943" s="6"/>
      <c r="F943" s="5"/>
      <c r="G943" s="7"/>
      <c r="H943" s="8"/>
      <c r="I943" s="8"/>
      <c r="J943" s="9"/>
      <c r="K943" s="10" t="str">
        <f aca="false">IF(H943*J943=0,"",H943*J943)</f>
        <v/>
      </c>
      <c r="L943" s="11"/>
      <c r="M943" s="11"/>
      <c r="N943" s="10" t="str">
        <f aca="false">IF(L943+M943=0,"",L943+M943)</f>
        <v/>
      </c>
      <c r="O943" s="12" t="str">
        <f aca="false">IF(OR(H943="",I943="",J943=""),"",IF(F943="Long",(I943-H943)*J943*IF(G943="",1,G943),(H943-I943)*J943*IF(G943="",1,G943)))</f>
        <v/>
      </c>
      <c r="P943" s="13" t="str">
        <f aca="false">IF(O943="","",O943-IF(N943="",0,N943))</f>
        <v/>
      </c>
      <c r="Q943" s="14" t="str">
        <f aca="false">IFERROR(IF(P943="","",P943/K943),"")</f>
        <v/>
      </c>
      <c r="R943" s="6"/>
      <c r="S943" s="5"/>
      <c r="T943" s="15"/>
    </row>
    <row r="944" customFormat="false" ht="18" hidden="false" customHeight="true" outlineLevel="0" collapsed="false">
      <c r="A944" s="16" t="str">
        <f aca="false">IF(B944&lt;&gt;"",ROW()-2,"")</f>
        <v/>
      </c>
      <c r="B944" s="17"/>
      <c r="C944" s="17"/>
      <c r="D944" s="18"/>
      <c r="E944" s="19"/>
      <c r="F944" s="18"/>
      <c r="G944" s="20"/>
      <c r="H944" s="21"/>
      <c r="I944" s="21"/>
      <c r="J944" s="22"/>
      <c r="K944" s="23" t="str">
        <f aca="false">IF(H944*J944=0,"",H944*J944)</f>
        <v/>
      </c>
      <c r="L944" s="24"/>
      <c r="M944" s="24"/>
      <c r="N944" s="23" t="str">
        <f aca="false">IF(L944+M944=0,"",L944+M944)</f>
        <v/>
      </c>
      <c r="O944" s="25" t="str">
        <f aca="false">IF(OR(H944="",I944="",J944=""),"",IF(F944="Long",(I944-H944)*J944*IF(G944="",1,G944),(H944-I944)*J944*IF(G944="",1,G944)))</f>
        <v/>
      </c>
      <c r="P944" s="26" t="str">
        <f aca="false">IF(O944="","",O944-IF(N944="",0,N944))</f>
        <v/>
      </c>
      <c r="Q944" s="27" t="str">
        <f aca="false">IFERROR(IF(P944="","",P944/K944),"")</f>
        <v/>
      </c>
      <c r="R944" s="19"/>
      <c r="S944" s="18"/>
      <c r="T944" s="28"/>
    </row>
    <row r="945" customFormat="false" ht="18" hidden="false" customHeight="true" outlineLevel="0" collapsed="false">
      <c r="A945" s="3" t="str">
        <f aca="false">IF(B945&lt;&gt;"",ROW()-2,"")</f>
        <v/>
      </c>
      <c r="B945" s="4"/>
      <c r="C945" s="4"/>
      <c r="D945" s="5"/>
      <c r="E945" s="6"/>
      <c r="F945" s="5"/>
      <c r="G945" s="7"/>
      <c r="H945" s="8"/>
      <c r="I945" s="8"/>
      <c r="J945" s="9"/>
      <c r="K945" s="10" t="str">
        <f aca="false">IF(H945*J945=0,"",H945*J945)</f>
        <v/>
      </c>
      <c r="L945" s="11"/>
      <c r="M945" s="11"/>
      <c r="N945" s="10" t="str">
        <f aca="false">IF(L945+M945=0,"",L945+M945)</f>
        <v/>
      </c>
      <c r="O945" s="12" t="str">
        <f aca="false">IF(OR(H945="",I945="",J945=""),"",IF(F945="Long",(I945-H945)*J945*IF(G945="",1,G945),(H945-I945)*J945*IF(G945="",1,G945)))</f>
        <v/>
      </c>
      <c r="P945" s="13" t="str">
        <f aca="false">IF(O945="","",O945-IF(N945="",0,N945))</f>
        <v/>
      </c>
      <c r="Q945" s="14" t="str">
        <f aca="false">IFERROR(IF(P945="","",P945/K945),"")</f>
        <v/>
      </c>
      <c r="R945" s="6"/>
      <c r="S945" s="5"/>
      <c r="T945" s="15"/>
    </row>
    <row r="946" customFormat="false" ht="18" hidden="false" customHeight="true" outlineLevel="0" collapsed="false">
      <c r="A946" s="16" t="str">
        <f aca="false">IF(B946&lt;&gt;"",ROW()-2,"")</f>
        <v/>
      </c>
      <c r="B946" s="17"/>
      <c r="C946" s="17"/>
      <c r="D946" s="18"/>
      <c r="E946" s="19"/>
      <c r="F946" s="18"/>
      <c r="G946" s="20"/>
      <c r="H946" s="21"/>
      <c r="I946" s="21"/>
      <c r="J946" s="22"/>
      <c r="K946" s="23" t="str">
        <f aca="false">IF(H946*J946=0,"",H946*J946)</f>
        <v/>
      </c>
      <c r="L946" s="24"/>
      <c r="M946" s="24"/>
      <c r="N946" s="23" t="str">
        <f aca="false">IF(L946+M946=0,"",L946+M946)</f>
        <v/>
      </c>
      <c r="O946" s="25" t="str">
        <f aca="false">IF(OR(H946="",I946="",J946=""),"",IF(F946="Long",(I946-H946)*J946*IF(G946="",1,G946),(H946-I946)*J946*IF(G946="",1,G946)))</f>
        <v/>
      </c>
      <c r="P946" s="26" t="str">
        <f aca="false">IF(O946="","",O946-IF(N946="",0,N946))</f>
        <v/>
      </c>
      <c r="Q946" s="27" t="str">
        <f aca="false">IFERROR(IF(P946="","",P946/K946),"")</f>
        <v/>
      </c>
      <c r="R946" s="19"/>
      <c r="S946" s="18"/>
      <c r="T946" s="28"/>
    </row>
    <row r="947" customFormat="false" ht="18" hidden="false" customHeight="true" outlineLevel="0" collapsed="false">
      <c r="A947" s="3" t="str">
        <f aca="false">IF(B947&lt;&gt;"",ROW()-2,"")</f>
        <v/>
      </c>
      <c r="B947" s="4"/>
      <c r="C947" s="4"/>
      <c r="D947" s="5"/>
      <c r="E947" s="6"/>
      <c r="F947" s="5"/>
      <c r="G947" s="7"/>
      <c r="H947" s="8"/>
      <c r="I947" s="8"/>
      <c r="J947" s="9"/>
      <c r="K947" s="10" t="str">
        <f aca="false">IF(H947*J947=0,"",H947*J947)</f>
        <v/>
      </c>
      <c r="L947" s="11"/>
      <c r="M947" s="11"/>
      <c r="N947" s="10" t="str">
        <f aca="false">IF(L947+M947=0,"",L947+M947)</f>
        <v/>
      </c>
      <c r="O947" s="12" t="str">
        <f aca="false">IF(OR(H947="",I947="",J947=""),"",IF(F947="Long",(I947-H947)*J947*IF(G947="",1,G947),(H947-I947)*J947*IF(G947="",1,G947)))</f>
        <v/>
      </c>
      <c r="P947" s="13" t="str">
        <f aca="false">IF(O947="","",O947-IF(N947="",0,N947))</f>
        <v/>
      </c>
      <c r="Q947" s="14" t="str">
        <f aca="false">IFERROR(IF(P947="","",P947/K947),"")</f>
        <v/>
      </c>
      <c r="R947" s="6"/>
      <c r="S947" s="5"/>
      <c r="T947" s="15"/>
    </row>
    <row r="948" customFormat="false" ht="18" hidden="false" customHeight="true" outlineLevel="0" collapsed="false">
      <c r="A948" s="16" t="str">
        <f aca="false">IF(B948&lt;&gt;"",ROW()-2,"")</f>
        <v/>
      </c>
      <c r="B948" s="17"/>
      <c r="C948" s="17"/>
      <c r="D948" s="18"/>
      <c r="E948" s="19"/>
      <c r="F948" s="18"/>
      <c r="G948" s="20"/>
      <c r="H948" s="21"/>
      <c r="I948" s="21"/>
      <c r="J948" s="22"/>
      <c r="K948" s="23" t="str">
        <f aca="false">IF(H948*J948=0,"",H948*J948)</f>
        <v/>
      </c>
      <c r="L948" s="24"/>
      <c r="M948" s="24"/>
      <c r="N948" s="23" t="str">
        <f aca="false">IF(L948+M948=0,"",L948+M948)</f>
        <v/>
      </c>
      <c r="O948" s="25" t="str">
        <f aca="false">IF(OR(H948="",I948="",J948=""),"",IF(F948="Long",(I948-H948)*J948*IF(G948="",1,G948),(H948-I948)*J948*IF(G948="",1,G948)))</f>
        <v/>
      </c>
      <c r="P948" s="26" t="str">
        <f aca="false">IF(O948="","",O948-IF(N948="",0,N948))</f>
        <v/>
      </c>
      <c r="Q948" s="27" t="str">
        <f aca="false">IFERROR(IF(P948="","",P948/K948),"")</f>
        <v/>
      </c>
      <c r="R948" s="19"/>
      <c r="S948" s="18"/>
      <c r="T948" s="28"/>
    </row>
    <row r="949" customFormat="false" ht="18" hidden="false" customHeight="true" outlineLevel="0" collapsed="false">
      <c r="A949" s="3" t="str">
        <f aca="false">IF(B949&lt;&gt;"",ROW()-2,"")</f>
        <v/>
      </c>
      <c r="B949" s="4"/>
      <c r="C949" s="4"/>
      <c r="D949" s="5"/>
      <c r="E949" s="6"/>
      <c r="F949" s="5"/>
      <c r="G949" s="7"/>
      <c r="H949" s="8"/>
      <c r="I949" s="8"/>
      <c r="J949" s="9"/>
      <c r="K949" s="10" t="str">
        <f aca="false">IF(H949*J949=0,"",H949*J949)</f>
        <v/>
      </c>
      <c r="L949" s="11"/>
      <c r="M949" s="11"/>
      <c r="N949" s="10" t="str">
        <f aca="false">IF(L949+M949=0,"",L949+M949)</f>
        <v/>
      </c>
      <c r="O949" s="12" t="str">
        <f aca="false">IF(OR(H949="",I949="",J949=""),"",IF(F949="Long",(I949-H949)*J949*IF(G949="",1,G949),(H949-I949)*J949*IF(G949="",1,G949)))</f>
        <v/>
      </c>
      <c r="P949" s="13" t="str">
        <f aca="false">IF(O949="","",O949-IF(N949="",0,N949))</f>
        <v/>
      </c>
      <c r="Q949" s="14" t="str">
        <f aca="false">IFERROR(IF(P949="","",P949/K949),"")</f>
        <v/>
      </c>
      <c r="R949" s="6"/>
      <c r="S949" s="5"/>
      <c r="T949" s="15"/>
    </row>
    <row r="950" customFormat="false" ht="18" hidden="false" customHeight="true" outlineLevel="0" collapsed="false">
      <c r="A950" s="16" t="str">
        <f aca="false">IF(B950&lt;&gt;"",ROW()-2,"")</f>
        <v/>
      </c>
      <c r="B950" s="17"/>
      <c r="C950" s="17"/>
      <c r="D950" s="18"/>
      <c r="E950" s="19"/>
      <c r="F950" s="18"/>
      <c r="G950" s="20"/>
      <c r="H950" s="21"/>
      <c r="I950" s="21"/>
      <c r="J950" s="22"/>
      <c r="K950" s="23" t="str">
        <f aca="false">IF(H950*J950=0,"",H950*J950)</f>
        <v/>
      </c>
      <c r="L950" s="24"/>
      <c r="M950" s="24"/>
      <c r="N950" s="23" t="str">
        <f aca="false">IF(L950+M950=0,"",L950+M950)</f>
        <v/>
      </c>
      <c r="O950" s="25" t="str">
        <f aca="false">IF(OR(H950="",I950="",J950=""),"",IF(F950="Long",(I950-H950)*J950*IF(G950="",1,G950),(H950-I950)*J950*IF(G950="",1,G950)))</f>
        <v/>
      </c>
      <c r="P950" s="26" t="str">
        <f aca="false">IF(O950="","",O950-IF(N950="",0,N950))</f>
        <v/>
      </c>
      <c r="Q950" s="27" t="str">
        <f aca="false">IFERROR(IF(P950="","",P950/K950),"")</f>
        <v/>
      </c>
      <c r="R950" s="19"/>
      <c r="S950" s="18"/>
      <c r="T950" s="28"/>
    </row>
    <row r="951" customFormat="false" ht="18" hidden="false" customHeight="true" outlineLevel="0" collapsed="false">
      <c r="A951" s="3" t="str">
        <f aca="false">IF(B951&lt;&gt;"",ROW()-2,"")</f>
        <v/>
      </c>
      <c r="B951" s="4"/>
      <c r="C951" s="4"/>
      <c r="D951" s="5"/>
      <c r="E951" s="6"/>
      <c r="F951" s="5"/>
      <c r="G951" s="7"/>
      <c r="H951" s="8"/>
      <c r="I951" s="8"/>
      <c r="J951" s="9"/>
      <c r="K951" s="10" t="str">
        <f aca="false">IF(H951*J951=0,"",H951*J951)</f>
        <v/>
      </c>
      <c r="L951" s="11"/>
      <c r="M951" s="11"/>
      <c r="N951" s="10" t="str">
        <f aca="false">IF(L951+M951=0,"",L951+M951)</f>
        <v/>
      </c>
      <c r="O951" s="12" t="str">
        <f aca="false">IF(OR(H951="",I951="",J951=""),"",IF(F951="Long",(I951-H951)*J951*IF(G951="",1,G951),(H951-I951)*J951*IF(G951="",1,G951)))</f>
        <v/>
      </c>
      <c r="P951" s="13" t="str">
        <f aca="false">IF(O951="","",O951-IF(N951="",0,N951))</f>
        <v/>
      </c>
      <c r="Q951" s="14" t="str">
        <f aca="false">IFERROR(IF(P951="","",P951/K951),"")</f>
        <v/>
      </c>
      <c r="R951" s="6"/>
      <c r="S951" s="5"/>
      <c r="T951" s="15"/>
    </row>
    <row r="952" customFormat="false" ht="18" hidden="false" customHeight="true" outlineLevel="0" collapsed="false">
      <c r="A952" s="16" t="str">
        <f aca="false">IF(B952&lt;&gt;"",ROW()-2,"")</f>
        <v/>
      </c>
      <c r="B952" s="17"/>
      <c r="C952" s="17"/>
      <c r="D952" s="18"/>
      <c r="E952" s="19"/>
      <c r="F952" s="18"/>
      <c r="G952" s="20"/>
      <c r="H952" s="21"/>
      <c r="I952" s="21"/>
      <c r="J952" s="22"/>
      <c r="K952" s="23" t="str">
        <f aca="false">IF(H952*J952=0,"",H952*J952)</f>
        <v/>
      </c>
      <c r="L952" s="24"/>
      <c r="M952" s="24"/>
      <c r="N952" s="23" t="str">
        <f aca="false">IF(L952+M952=0,"",L952+M952)</f>
        <v/>
      </c>
      <c r="O952" s="25" t="str">
        <f aca="false">IF(OR(H952="",I952="",J952=""),"",IF(F952="Long",(I952-H952)*J952*IF(G952="",1,G952),(H952-I952)*J952*IF(G952="",1,G952)))</f>
        <v/>
      </c>
      <c r="P952" s="26" t="str">
        <f aca="false">IF(O952="","",O952-IF(N952="",0,N952))</f>
        <v/>
      </c>
      <c r="Q952" s="27" t="str">
        <f aca="false">IFERROR(IF(P952="","",P952/K952),"")</f>
        <v/>
      </c>
      <c r="R952" s="19"/>
      <c r="S952" s="18"/>
      <c r="T952" s="28"/>
    </row>
    <row r="953" customFormat="false" ht="18" hidden="false" customHeight="true" outlineLevel="0" collapsed="false">
      <c r="A953" s="3" t="str">
        <f aca="false">IF(B953&lt;&gt;"",ROW()-2,"")</f>
        <v/>
      </c>
      <c r="B953" s="4"/>
      <c r="C953" s="4"/>
      <c r="D953" s="5"/>
      <c r="E953" s="6"/>
      <c r="F953" s="5"/>
      <c r="G953" s="7"/>
      <c r="H953" s="8"/>
      <c r="I953" s="8"/>
      <c r="J953" s="9"/>
      <c r="K953" s="10" t="str">
        <f aca="false">IF(H953*J953=0,"",H953*J953)</f>
        <v/>
      </c>
      <c r="L953" s="11"/>
      <c r="M953" s="11"/>
      <c r="N953" s="10" t="str">
        <f aca="false">IF(L953+M953=0,"",L953+M953)</f>
        <v/>
      </c>
      <c r="O953" s="12" t="str">
        <f aca="false">IF(OR(H953="",I953="",J953=""),"",IF(F953="Long",(I953-H953)*J953*IF(G953="",1,G953),(H953-I953)*J953*IF(G953="",1,G953)))</f>
        <v/>
      </c>
      <c r="P953" s="13" t="str">
        <f aca="false">IF(O953="","",O953-IF(N953="",0,N953))</f>
        <v/>
      </c>
      <c r="Q953" s="14" t="str">
        <f aca="false">IFERROR(IF(P953="","",P953/K953),"")</f>
        <v/>
      </c>
      <c r="R953" s="6"/>
      <c r="S953" s="5"/>
      <c r="T953" s="15"/>
    </row>
    <row r="954" customFormat="false" ht="18" hidden="false" customHeight="true" outlineLevel="0" collapsed="false">
      <c r="A954" s="16" t="str">
        <f aca="false">IF(B954&lt;&gt;"",ROW()-2,"")</f>
        <v/>
      </c>
      <c r="B954" s="17"/>
      <c r="C954" s="17"/>
      <c r="D954" s="18"/>
      <c r="E954" s="19"/>
      <c r="F954" s="18"/>
      <c r="G954" s="20"/>
      <c r="H954" s="21"/>
      <c r="I954" s="21"/>
      <c r="J954" s="22"/>
      <c r="K954" s="23" t="str">
        <f aca="false">IF(H954*J954=0,"",H954*J954)</f>
        <v/>
      </c>
      <c r="L954" s="24"/>
      <c r="M954" s="24"/>
      <c r="N954" s="23" t="str">
        <f aca="false">IF(L954+M954=0,"",L954+M954)</f>
        <v/>
      </c>
      <c r="O954" s="25" t="str">
        <f aca="false">IF(OR(H954="",I954="",J954=""),"",IF(F954="Long",(I954-H954)*J954*IF(G954="",1,G954),(H954-I954)*J954*IF(G954="",1,G954)))</f>
        <v/>
      </c>
      <c r="P954" s="26" t="str">
        <f aca="false">IF(O954="","",O954-IF(N954="",0,N954))</f>
        <v/>
      </c>
      <c r="Q954" s="27" t="str">
        <f aca="false">IFERROR(IF(P954="","",P954/K954),"")</f>
        <v/>
      </c>
      <c r="R954" s="19"/>
      <c r="S954" s="18"/>
      <c r="T954" s="28"/>
    </row>
    <row r="955" customFormat="false" ht="18" hidden="false" customHeight="true" outlineLevel="0" collapsed="false">
      <c r="A955" s="3" t="str">
        <f aca="false">IF(B955&lt;&gt;"",ROW()-2,"")</f>
        <v/>
      </c>
      <c r="B955" s="4"/>
      <c r="C955" s="4"/>
      <c r="D955" s="5"/>
      <c r="E955" s="6"/>
      <c r="F955" s="5"/>
      <c r="G955" s="7"/>
      <c r="H955" s="8"/>
      <c r="I955" s="8"/>
      <c r="J955" s="9"/>
      <c r="K955" s="10" t="str">
        <f aca="false">IF(H955*J955=0,"",H955*J955)</f>
        <v/>
      </c>
      <c r="L955" s="11"/>
      <c r="M955" s="11"/>
      <c r="N955" s="10" t="str">
        <f aca="false">IF(L955+M955=0,"",L955+M955)</f>
        <v/>
      </c>
      <c r="O955" s="12" t="str">
        <f aca="false">IF(OR(H955="",I955="",J955=""),"",IF(F955="Long",(I955-H955)*J955*IF(G955="",1,G955),(H955-I955)*J955*IF(G955="",1,G955)))</f>
        <v/>
      </c>
      <c r="P955" s="13" t="str">
        <f aca="false">IF(O955="","",O955-IF(N955="",0,N955))</f>
        <v/>
      </c>
      <c r="Q955" s="14" t="str">
        <f aca="false">IFERROR(IF(P955="","",P955/K955),"")</f>
        <v/>
      </c>
      <c r="R955" s="6"/>
      <c r="S955" s="5"/>
      <c r="T955" s="15"/>
    </row>
    <row r="956" customFormat="false" ht="18" hidden="false" customHeight="true" outlineLevel="0" collapsed="false">
      <c r="A956" s="16" t="str">
        <f aca="false">IF(B956&lt;&gt;"",ROW()-2,"")</f>
        <v/>
      </c>
      <c r="B956" s="17"/>
      <c r="C956" s="17"/>
      <c r="D956" s="18"/>
      <c r="E956" s="19"/>
      <c r="F956" s="18"/>
      <c r="G956" s="20"/>
      <c r="H956" s="21"/>
      <c r="I956" s="21"/>
      <c r="J956" s="22"/>
      <c r="K956" s="23" t="str">
        <f aca="false">IF(H956*J956=0,"",H956*J956)</f>
        <v/>
      </c>
      <c r="L956" s="24"/>
      <c r="M956" s="24"/>
      <c r="N956" s="23" t="str">
        <f aca="false">IF(L956+M956=0,"",L956+M956)</f>
        <v/>
      </c>
      <c r="O956" s="25" t="str">
        <f aca="false">IF(OR(H956="",I956="",J956=""),"",IF(F956="Long",(I956-H956)*J956*IF(G956="",1,G956),(H956-I956)*J956*IF(G956="",1,G956)))</f>
        <v/>
      </c>
      <c r="P956" s="26" t="str">
        <f aca="false">IF(O956="","",O956-IF(N956="",0,N956))</f>
        <v/>
      </c>
      <c r="Q956" s="27" t="str">
        <f aca="false">IFERROR(IF(P956="","",P956/K956),"")</f>
        <v/>
      </c>
      <c r="R956" s="19"/>
      <c r="S956" s="18"/>
      <c r="T956" s="28"/>
    </row>
    <row r="957" customFormat="false" ht="18" hidden="false" customHeight="true" outlineLevel="0" collapsed="false">
      <c r="A957" s="3" t="str">
        <f aca="false">IF(B957&lt;&gt;"",ROW()-2,"")</f>
        <v/>
      </c>
      <c r="B957" s="4"/>
      <c r="C957" s="4"/>
      <c r="D957" s="5"/>
      <c r="E957" s="6"/>
      <c r="F957" s="5"/>
      <c r="G957" s="7"/>
      <c r="H957" s="8"/>
      <c r="I957" s="8"/>
      <c r="J957" s="9"/>
      <c r="K957" s="10" t="str">
        <f aca="false">IF(H957*J957=0,"",H957*J957)</f>
        <v/>
      </c>
      <c r="L957" s="11"/>
      <c r="M957" s="11"/>
      <c r="N957" s="10" t="str">
        <f aca="false">IF(L957+M957=0,"",L957+M957)</f>
        <v/>
      </c>
      <c r="O957" s="12" t="str">
        <f aca="false">IF(OR(H957="",I957="",J957=""),"",IF(F957="Long",(I957-H957)*J957*IF(G957="",1,G957),(H957-I957)*J957*IF(G957="",1,G957)))</f>
        <v/>
      </c>
      <c r="P957" s="13" t="str">
        <f aca="false">IF(O957="","",O957-IF(N957="",0,N957))</f>
        <v/>
      </c>
      <c r="Q957" s="14" t="str">
        <f aca="false">IFERROR(IF(P957="","",P957/K957),"")</f>
        <v/>
      </c>
      <c r="R957" s="6"/>
      <c r="S957" s="5"/>
      <c r="T957" s="15"/>
    </row>
    <row r="958" customFormat="false" ht="18" hidden="false" customHeight="true" outlineLevel="0" collapsed="false">
      <c r="A958" s="16" t="str">
        <f aca="false">IF(B958&lt;&gt;"",ROW()-2,"")</f>
        <v/>
      </c>
      <c r="B958" s="17"/>
      <c r="C958" s="17"/>
      <c r="D958" s="18"/>
      <c r="E958" s="19"/>
      <c r="F958" s="18"/>
      <c r="G958" s="20"/>
      <c r="H958" s="21"/>
      <c r="I958" s="21"/>
      <c r="J958" s="22"/>
      <c r="K958" s="23" t="str">
        <f aca="false">IF(H958*J958=0,"",H958*J958)</f>
        <v/>
      </c>
      <c r="L958" s="24"/>
      <c r="M958" s="24"/>
      <c r="N958" s="23" t="str">
        <f aca="false">IF(L958+M958=0,"",L958+M958)</f>
        <v/>
      </c>
      <c r="O958" s="25" t="str">
        <f aca="false">IF(OR(H958="",I958="",J958=""),"",IF(F958="Long",(I958-H958)*J958*IF(G958="",1,G958),(H958-I958)*J958*IF(G958="",1,G958)))</f>
        <v/>
      </c>
      <c r="P958" s="26" t="str">
        <f aca="false">IF(O958="","",O958-IF(N958="",0,N958))</f>
        <v/>
      </c>
      <c r="Q958" s="27" t="str">
        <f aca="false">IFERROR(IF(P958="","",P958/K958),"")</f>
        <v/>
      </c>
      <c r="R958" s="19"/>
      <c r="S958" s="18"/>
      <c r="T958" s="28"/>
    </row>
    <row r="959" customFormat="false" ht="18" hidden="false" customHeight="true" outlineLevel="0" collapsed="false">
      <c r="A959" s="3" t="str">
        <f aca="false">IF(B959&lt;&gt;"",ROW()-2,"")</f>
        <v/>
      </c>
      <c r="B959" s="4"/>
      <c r="C959" s="4"/>
      <c r="D959" s="5"/>
      <c r="E959" s="6"/>
      <c r="F959" s="5"/>
      <c r="G959" s="7"/>
      <c r="H959" s="8"/>
      <c r="I959" s="8"/>
      <c r="J959" s="9"/>
      <c r="K959" s="10" t="str">
        <f aca="false">IF(H959*J959=0,"",H959*J959)</f>
        <v/>
      </c>
      <c r="L959" s="11"/>
      <c r="M959" s="11"/>
      <c r="N959" s="10" t="str">
        <f aca="false">IF(L959+M959=0,"",L959+M959)</f>
        <v/>
      </c>
      <c r="O959" s="12" t="str">
        <f aca="false">IF(OR(H959="",I959="",J959=""),"",IF(F959="Long",(I959-H959)*J959*IF(G959="",1,G959),(H959-I959)*J959*IF(G959="",1,G959)))</f>
        <v/>
      </c>
      <c r="P959" s="13" t="str">
        <f aca="false">IF(O959="","",O959-IF(N959="",0,N959))</f>
        <v/>
      </c>
      <c r="Q959" s="14" t="str">
        <f aca="false">IFERROR(IF(P959="","",P959/K959),"")</f>
        <v/>
      </c>
      <c r="R959" s="6"/>
      <c r="S959" s="5"/>
      <c r="T959" s="15"/>
    </row>
    <row r="960" customFormat="false" ht="18" hidden="false" customHeight="true" outlineLevel="0" collapsed="false">
      <c r="A960" s="16" t="str">
        <f aca="false">IF(B960&lt;&gt;"",ROW()-2,"")</f>
        <v/>
      </c>
      <c r="B960" s="17"/>
      <c r="C960" s="17"/>
      <c r="D960" s="18"/>
      <c r="E960" s="19"/>
      <c r="F960" s="18"/>
      <c r="G960" s="20"/>
      <c r="H960" s="21"/>
      <c r="I960" s="21"/>
      <c r="J960" s="22"/>
      <c r="K960" s="23" t="str">
        <f aca="false">IF(H960*J960=0,"",H960*J960)</f>
        <v/>
      </c>
      <c r="L960" s="24"/>
      <c r="M960" s="24"/>
      <c r="N960" s="23" t="str">
        <f aca="false">IF(L960+M960=0,"",L960+M960)</f>
        <v/>
      </c>
      <c r="O960" s="25" t="str">
        <f aca="false">IF(OR(H960="",I960="",J960=""),"",IF(F960="Long",(I960-H960)*J960*IF(G960="",1,G960),(H960-I960)*J960*IF(G960="",1,G960)))</f>
        <v/>
      </c>
      <c r="P960" s="26" t="str">
        <f aca="false">IF(O960="","",O960-IF(N960="",0,N960))</f>
        <v/>
      </c>
      <c r="Q960" s="27" t="str">
        <f aca="false">IFERROR(IF(P960="","",P960/K960),"")</f>
        <v/>
      </c>
      <c r="R960" s="19"/>
      <c r="S960" s="18"/>
      <c r="T960" s="28"/>
    </row>
    <row r="961" customFormat="false" ht="18" hidden="false" customHeight="true" outlineLevel="0" collapsed="false">
      <c r="A961" s="3" t="str">
        <f aca="false">IF(B961&lt;&gt;"",ROW()-2,"")</f>
        <v/>
      </c>
      <c r="B961" s="4"/>
      <c r="C961" s="4"/>
      <c r="D961" s="5"/>
      <c r="E961" s="6"/>
      <c r="F961" s="5"/>
      <c r="G961" s="7"/>
      <c r="H961" s="8"/>
      <c r="I961" s="8"/>
      <c r="J961" s="9"/>
      <c r="K961" s="10" t="str">
        <f aca="false">IF(H961*J961=0,"",H961*J961)</f>
        <v/>
      </c>
      <c r="L961" s="11"/>
      <c r="M961" s="11"/>
      <c r="N961" s="10" t="str">
        <f aca="false">IF(L961+M961=0,"",L961+M961)</f>
        <v/>
      </c>
      <c r="O961" s="12" t="str">
        <f aca="false">IF(OR(H961="",I961="",J961=""),"",IF(F961="Long",(I961-H961)*J961*IF(G961="",1,G961),(H961-I961)*J961*IF(G961="",1,G961)))</f>
        <v/>
      </c>
      <c r="P961" s="13" t="str">
        <f aca="false">IF(O961="","",O961-IF(N961="",0,N961))</f>
        <v/>
      </c>
      <c r="Q961" s="14" t="str">
        <f aca="false">IFERROR(IF(P961="","",P961/K961),"")</f>
        <v/>
      </c>
      <c r="R961" s="6"/>
      <c r="S961" s="5"/>
      <c r="T961" s="15"/>
    </row>
    <row r="962" customFormat="false" ht="18" hidden="false" customHeight="true" outlineLevel="0" collapsed="false">
      <c r="A962" s="16" t="str">
        <f aca="false">IF(B962&lt;&gt;"",ROW()-2,"")</f>
        <v/>
      </c>
      <c r="B962" s="17"/>
      <c r="C962" s="17"/>
      <c r="D962" s="18"/>
      <c r="E962" s="19"/>
      <c r="F962" s="18"/>
      <c r="G962" s="20"/>
      <c r="H962" s="21"/>
      <c r="I962" s="21"/>
      <c r="J962" s="22"/>
      <c r="K962" s="23" t="str">
        <f aca="false">IF(H962*J962=0,"",H962*J962)</f>
        <v/>
      </c>
      <c r="L962" s="24"/>
      <c r="M962" s="24"/>
      <c r="N962" s="23" t="str">
        <f aca="false">IF(L962+M962=0,"",L962+M962)</f>
        <v/>
      </c>
      <c r="O962" s="25" t="str">
        <f aca="false">IF(OR(H962="",I962="",J962=""),"",IF(F962="Long",(I962-H962)*J962*IF(G962="",1,G962),(H962-I962)*J962*IF(G962="",1,G962)))</f>
        <v/>
      </c>
      <c r="P962" s="26" t="str">
        <f aca="false">IF(O962="","",O962-IF(N962="",0,N962))</f>
        <v/>
      </c>
      <c r="Q962" s="27" t="str">
        <f aca="false">IFERROR(IF(P962="","",P962/K962),"")</f>
        <v/>
      </c>
      <c r="R962" s="19"/>
      <c r="S962" s="18"/>
      <c r="T962" s="28"/>
    </row>
    <row r="963" customFormat="false" ht="18" hidden="false" customHeight="true" outlineLevel="0" collapsed="false">
      <c r="A963" s="3" t="str">
        <f aca="false">IF(B963&lt;&gt;"",ROW()-2,"")</f>
        <v/>
      </c>
      <c r="B963" s="4"/>
      <c r="C963" s="4"/>
      <c r="D963" s="5"/>
      <c r="E963" s="6"/>
      <c r="F963" s="5"/>
      <c r="G963" s="7"/>
      <c r="H963" s="8"/>
      <c r="I963" s="8"/>
      <c r="J963" s="9"/>
      <c r="K963" s="10" t="str">
        <f aca="false">IF(H963*J963=0,"",H963*J963)</f>
        <v/>
      </c>
      <c r="L963" s="11"/>
      <c r="M963" s="11"/>
      <c r="N963" s="10" t="str">
        <f aca="false">IF(L963+M963=0,"",L963+M963)</f>
        <v/>
      </c>
      <c r="O963" s="12" t="str">
        <f aca="false">IF(OR(H963="",I963="",J963=""),"",IF(F963="Long",(I963-H963)*J963*IF(G963="",1,G963),(H963-I963)*J963*IF(G963="",1,G963)))</f>
        <v/>
      </c>
      <c r="P963" s="13" t="str">
        <f aca="false">IF(O963="","",O963-IF(N963="",0,N963))</f>
        <v/>
      </c>
      <c r="Q963" s="14" t="str">
        <f aca="false">IFERROR(IF(P963="","",P963/K963),"")</f>
        <v/>
      </c>
      <c r="R963" s="6"/>
      <c r="S963" s="5"/>
      <c r="T963" s="15"/>
    </row>
    <row r="964" customFormat="false" ht="18" hidden="false" customHeight="true" outlineLevel="0" collapsed="false">
      <c r="A964" s="16" t="str">
        <f aca="false">IF(B964&lt;&gt;"",ROW()-2,"")</f>
        <v/>
      </c>
      <c r="B964" s="17"/>
      <c r="C964" s="17"/>
      <c r="D964" s="18"/>
      <c r="E964" s="19"/>
      <c r="F964" s="18"/>
      <c r="G964" s="20"/>
      <c r="H964" s="21"/>
      <c r="I964" s="21"/>
      <c r="J964" s="22"/>
      <c r="K964" s="23" t="str">
        <f aca="false">IF(H964*J964=0,"",H964*J964)</f>
        <v/>
      </c>
      <c r="L964" s="24"/>
      <c r="M964" s="24"/>
      <c r="N964" s="23" t="str">
        <f aca="false">IF(L964+M964=0,"",L964+M964)</f>
        <v/>
      </c>
      <c r="O964" s="25" t="str">
        <f aca="false">IF(OR(H964="",I964="",J964=""),"",IF(F964="Long",(I964-H964)*J964*IF(G964="",1,G964),(H964-I964)*J964*IF(G964="",1,G964)))</f>
        <v/>
      </c>
      <c r="P964" s="26" t="str">
        <f aca="false">IF(O964="","",O964-IF(N964="",0,N964))</f>
        <v/>
      </c>
      <c r="Q964" s="27" t="str">
        <f aca="false">IFERROR(IF(P964="","",P964/K964),"")</f>
        <v/>
      </c>
      <c r="R964" s="19"/>
      <c r="S964" s="18"/>
      <c r="T964" s="28"/>
    </row>
    <row r="965" customFormat="false" ht="18" hidden="false" customHeight="true" outlineLevel="0" collapsed="false">
      <c r="A965" s="3" t="str">
        <f aca="false">IF(B965&lt;&gt;"",ROW()-2,"")</f>
        <v/>
      </c>
      <c r="B965" s="4"/>
      <c r="C965" s="4"/>
      <c r="D965" s="5"/>
      <c r="E965" s="6"/>
      <c r="F965" s="5"/>
      <c r="G965" s="7"/>
      <c r="H965" s="8"/>
      <c r="I965" s="8"/>
      <c r="J965" s="9"/>
      <c r="K965" s="10" t="str">
        <f aca="false">IF(H965*J965=0,"",H965*J965)</f>
        <v/>
      </c>
      <c r="L965" s="11"/>
      <c r="M965" s="11"/>
      <c r="N965" s="10" t="str">
        <f aca="false">IF(L965+M965=0,"",L965+M965)</f>
        <v/>
      </c>
      <c r="O965" s="12" t="str">
        <f aca="false">IF(OR(H965="",I965="",J965=""),"",IF(F965="Long",(I965-H965)*J965*IF(G965="",1,G965),(H965-I965)*J965*IF(G965="",1,G965)))</f>
        <v/>
      </c>
      <c r="P965" s="13" t="str">
        <f aca="false">IF(O965="","",O965-IF(N965="",0,N965))</f>
        <v/>
      </c>
      <c r="Q965" s="14" t="str">
        <f aca="false">IFERROR(IF(P965="","",P965/K965),"")</f>
        <v/>
      </c>
      <c r="R965" s="6"/>
      <c r="S965" s="5"/>
      <c r="T965" s="15"/>
    </row>
    <row r="966" customFormat="false" ht="18" hidden="false" customHeight="true" outlineLevel="0" collapsed="false">
      <c r="A966" s="16" t="str">
        <f aca="false">IF(B966&lt;&gt;"",ROW()-2,"")</f>
        <v/>
      </c>
      <c r="B966" s="17"/>
      <c r="C966" s="17"/>
      <c r="D966" s="18"/>
      <c r="E966" s="19"/>
      <c r="F966" s="18"/>
      <c r="G966" s="20"/>
      <c r="H966" s="21"/>
      <c r="I966" s="21"/>
      <c r="J966" s="22"/>
      <c r="K966" s="23" t="str">
        <f aca="false">IF(H966*J966=0,"",H966*J966)</f>
        <v/>
      </c>
      <c r="L966" s="24"/>
      <c r="M966" s="24"/>
      <c r="N966" s="23" t="str">
        <f aca="false">IF(L966+M966=0,"",L966+M966)</f>
        <v/>
      </c>
      <c r="O966" s="25" t="str">
        <f aca="false">IF(OR(H966="",I966="",J966=""),"",IF(F966="Long",(I966-H966)*J966*IF(G966="",1,G966),(H966-I966)*J966*IF(G966="",1,G966)))</f>
        <v/>
      </c>
      <c r="P966" s="26" t="str">
        <f aca="false">IF(O966="","",O966-IF(N966="",0,N966))</f>
        <v/>
      </c>
      <c r="Q966" s="27" t="str">
        <f aca="false">IFERROR(IF(P966="","",P966/K966),"")</f>
        <v/>
      </c>
      <c r="R966" s="19"/>
      <c r="S966" s="18"/>
      <c r="T966" s="28"/>
    </row>
    <row r="967" customFormat="false" ht="18" hidden="false" customHeight="true" outlineLevel="0" collapsed="false">
      <c r="A967" s="3" t="str">
        <f aca="false">IF(B967&lt;&gt;"",ROW()-2,"")</f>
        <v/>
      </c>
      <c r="B967" s="4"/>
      <c r="C967" s="4"/>
      <c r="D967" s="5"/>
      <c r="E967" s="6"/>
      <c r="F967" s="5"/>
      <c r="G967" s="7"/>
      <c r="H967" s="8"/>
      <c r="I967" s="8"/>
      <c r="J967" s="9"/>
      <c r="K967" s="10" t="str">
        <f aca="false">IF(H967*J967=0,"",H967*J967)</f>
        <v/>
      </c>
      <c r="L967" s="11"/>
      <c r="M967" s="11"/>
      <c r="N967" s="10" t="str">
        <f aca="false">IF(L967+M967=0,"",L967+M967)</f>
        <v/>
      </c>
      <c r="O967" s="12" t="str">
        <f aca="false">IF(OR(H967="",I967="",J967=""),"",IF(F967="Long",(I967-H967)*J967*IF(G967="",1,G967),(H967-I967)*J967*IF(G967="",1,G967)))</f>
        <v/>
      </c>
      <c r="P967" s="13" t="str">
        <f aca="false">IF(O967="","",O967-IF(N967="",0,N967))</f>
        <v/>
      </c>
      <c r="Q967" s="14" t="str">
        <f aca="false">IFERROR(IF(P967="","",P967/K967),"")</f>
        <v/>
      </c>
      <c r="R967" s="6"/>
      <c r="S967" s="5"/>
      <c r="T967" s="15"/>
    </row>
    <row r="968" customFormat="false" ht="18" hidden="false" customHeight="true" outlineLevel="0" collapsed="false">
      <c r="A968" s="16" t="str">
        <f aca="false">IF(B968&lt;&gt;"",ROW()-2,"")</f>
        <v/>
      </c>
      <c r="B968" s="17"/>
      <c r="C968" s="17"/>
      <c r="D968" s="18"/>
      <c r="E968" s="19"/>
      <c r="F968" s="18"/>
      <c r="G968" s="20"/>
      <c r="H968" s="21"/>
      <c r="I968" s="21"/>
      <c r="J968" s="22"/>
      <c r="K968" s="23" t="str">
        <f aca="false">IF(H968*J968=0,"",H968*J968)</f>
        <v/>
      </c>
      <c r="L968" s="24"/>
      <c r="M968" s="24"/>
      <c r="N968" s="23" t="str">
        <f aca="false">IF(L968+M968=0,"",L968+M968)</f>
        <v/>
      </c>
      <c r="O968" s="25" t="str">
        <f aca="false">IF(OR(H968="",I968="",J968=""),"",IF(F968="Long",(I968-H968)*J968*IF(G968="",1,G968),(H968-I968)*J968*IF(G968="",1,G968)))</f>
        <v/>
      </c>
      <c r="P968" s="26" t="str">
        <f aca="false">IF(O968="","",O968-IF(N968="",0,N968))</f>
        <v/>
      </c>
      <c r="Q968" s="27" t="str">
        <f aca="false">IFERROR(IF(P968="","",P968/K968),"")</f>
        <v/>
      </c>
      <c r="R968" s="19"/>
      <c r="S968" s="18"/>
      <c r="T968" s="28"/>
    </row>
    <row r="969" customFormat="false" ht="18" hidden="false" customHeight="true" outlineLevel="0" collapsed="false">
      <c r="A969" s="3" t="str">
        <f aca="false">IF(B969&lt;&gt;"",ROW()-2,"")</f>
        <v/>
      </c>
      <c r="B969" s="4"/>
      <c r="C969" s="4"/>
      <c r="D969" s="5"/>
      <c r="E969" s="6"/>
      <c r="F969" s="5"/>
      <c r="G969" s="7"/>
      <c r="H969" s="8"/>
      <c r="I969" s="8"/>
      <c r="J969" s="9"/>
      <c r="K969" s="10" t="str">
        <f aca="false">IF(H969*J969=0,"",H969*J969)</f>
        <v/>
      </c>
      <c r="L969" s="11"/>
      <c r="M969" s="11"/>
      <c r="N969" s="10" t="str">
        <f aca="false">IF(L969+M969=0,"",L969+M969)</f>
        <v/>
      </c>
      <c r="O969" s="12" t="str">
        <f aca="false">IF(OR(H969="",I969="",J969=""),"",IF(F969="Long",(I969-H969)*J969*IF(G969="",1,G969),(H969-I969)*J969*IF(G969="",1,G969)))</f>
        <v/>
      </c>
      <c r="P969" s="13" t="str">
        <f aca="false">IF(O969="","",O969-IF(N969="",0,N969))</f>
        <v/>
      </c>
      <c r="Q969" s="14" t="str">
        <f aca="false">IFERROR(IF(P969="","",P969/K969),"")</f>
        <v/>
      </c>
      <c r="R969" s="6"/>
      <c r="S969" s="5"/>
      <c r="T969" s="15"/>
    </row>
    <row r="970" customFormat="false" ht="18" hidden="false" customHeight="true" outlineLevel="0" collapsed="false">
      <c r="A970" s="16" t="str">
        <f aca="false">IF(B970&lt;&gt;"",ROW()-2,"")</f>
        <v/>
      </c>
      <c r="B970" s="17"/>
      <c r="C970" s="17"/>
      <c r="D970" s="18"/>
      <c r="E970" s="19"/>
      <c r="F970" s="18"/>
      <c r="G970" s="20"/>
      <c r="H970" s="21"/>
      <c r="I970" s="21"/>
      <c r="J970" s="22"/>
      <c r="K970" s="23" t="str">
        <f aca="false">IF(H970*J970=0,"",H970*J970)</f>
        <v/>
      </c>
      <c r="L970" s="24"/>
      <c r="M970" s="24"/>
      <c r="N970" s="23" t="str">
        <f aca="false">IF(L970+M970=0,"",L970+M970)</f>
        <v/>
      </c>
      <c r="O970" s="25" t="str">
        <f aca="false">IF(OR(H970="",I970="",J970=""),"",IF(F970="Long",(I970-H970)*J970*IF(G970="",1,G970),(H970-I970)*J970*IF(G970="",1,G970)))</f>
        <v/>
      </c>
      <c r="P970" s="26" t="str">
        <f aca="false">IF(O970="","",O970-IF(N970="",0,N970))</f>
        <v/>
      </c>
      <c r="Q970" s="27" t="str">
        <f aca="false">IFERROR(IF(P970="","",P970/K970),"")</f>
        <v/>
      </c>
      <c r="R970" s="19"/>
      <c r="S970" s="18"/>
      <c r="T970" s="28"/>
    </row>
    <row r="971" customFormat="false" ht="18" hidden="false" customHeight="true" outlineLevel="0" collapsed="false">
      <c r="A971" s="3" t="str">
        <f aca="false">IF(B971&lt;&gt;"",ROW()-2,"")</f>
        <v/>
      </c>
      <c r="B971" s="4"/>
      <c r="C971" s="4"/>
      <c r="D971" s="5"/>
      <c r="E971" s="6"/>
      <c r="F971" s="5"/>
      <c r="G971" s="7"/>
      <c r="H971" s="8"/>
      <c r="I971" s="8"/>
      <c r="J971" s="9"/>
      <c r="K971" s="10" t="str">
        <f aca="false">IF(H971*J971=0,"",H971*J971)</f>
        <v/>
      </c>
      <c r="L971" s="11"/>
      <c r="M971" s="11"/>
      <c r="N971" s="10" t="str">
        <f aca="false">IF(L971+M971=0,"",L971+M971)</f>
        <v/>
      </c>
      <c r="O971" s="12" t="str">
        <f aca="false">IF(OR(H971="",I971="",J971=""),"",IF(F971="Long",(I971-H971)*J971*IF(G971="",1,G971),(H971-I971)*J971*IF(G971="",1,G971)))</f>
        <v/>
      </c>
      <c r="P971" s="13" t="str">
        <f aca="false">IF(O971="","",O971-IF(N971="",0,N971))</f>
        <v/>
      </c>
      <c r="Q971" s="14" t="str">
        <f aca="false">IFERROR(IF(P971="","",P971/K971),"")</f>
        <v/>
      </c>
      <c r="R971" s="6"/>
      <c r="S971" s="5"/>
      <c r="T971" s="15"/>
    </row>
    <row r="972" customFormat="false" ht="18" hidden="false" customHeight="true" outlineLevel="0" collapsed="false">
      <c r="A972" s="16" t="str">
        <f aca="false">IF(B972&lt;&gt;"",ROW()-2,"")</f>
        <v/>
      </c>
      <c r="B972" s="17"/>
      <c r="C972" s="17"/>
      <c r="D972" s="18"/>
      <c r="E972" s="19"/>
      <c r="F972" s="18"/>
      <c r="G972" s="20"/>
      <c r="H972" s="21"/>
      <c r="I972" s="21"/>
      <c r="J972" s="22"/>
      <c r="K972" s="23" t="str">
        <f aca="false">IF(H972*J972=0,"",H972*J972)</f>
        <v/>
      </c>
      <c r="L972" s="24"/>
      <c r="M972" s="24"/>
      <c r="N972" s="23" t="str">
        <f aca="false">IF(L972+M972=0,"",L972+M972)</f>
        <v/>
      </c>
      <c r="O972" s="25" t="str">
        <f aca="false">IF(OR(H972="",I972="",J972=""),"",IF(F972="Long",(I972-H972)*J972*IF(G972="",1,G972),(H972-I972)*J972*IF(G972="",1,G972)))</f>
        <v/>
      </c>
      <c r="P972" s="26" t="str">
        <f aca="false">IF(O972="","",O972-IF(N972="",0,N972))</f>
        <v/>
      </c>
      <c r="Q972" s="27" t="str">
        <f aca="false">IFERROR(IF(P972="","",P972/K972),"")</f>
        <v/>
      </c>
      <c r="R972" s="19"/>
      <c r="S972" s="18"/>
      <c r="T972" s="28"/>
    </row>
    <row r="973" customFormat="false" ht="18" hidden="false" customHeight="true" outlineLevel="0" collapsed="false">
      <c r="A973" s="3" t="str">
        <f aca="false">IF(B973&lt;&gt;"",ROW()-2,"")</f>
        <v/>
      </c>
      <c r="B973" s="4"/>
      <c r="C973" s="4"/>
      <c r="D973" s="5"/>
      <c r="E973" s="6"/>
      <c r="F973" s="5"/>
      <c r="G973" s="7"/>
      <c r="H973" s="8"/>
      <c r="I973" s="8"/>
      <c r="J973" s="9"/>
      <c r="K973" s="10" t="str">
        <f aca="false">IF(H973*J973=0,"",H973*J973)</f>
        <v/>
      </c>
      <c r="L973" s="11"/>
      <c r="M973" s="11"/>
      <c r="N973" s="10" t="str">
        <f aca="false">IF(L973+M973=0,"",L973+M973)</f>
        <v/>
      </c>
      <c r="O973" s="12" t="str">
        <f aca="false">IF(OR(H973="",I973="",J973=""),"",IF(F973="Long",(I973-H973)*J973*IF(G973="",1,G973),(H973-I973)*J973*IF(G973="",1,G973)))</f>
        <v/>
      </c>
      <c r="P973" s="13" t="str">
        <f aca="false">IF(O973="","",O973-IF(N973="",0,N973))</f>
        <v/>
      </c>
      <c r="Q973" s="14" t="str">
        <f aca="false">IFERROR(IF(P973="","",P973/K973),"")</f>
        <v/>
      </c>
      <c r="R973" s="6"/>
      <c r="S973" s="5"/>
      <c r="T973" s="15"/>
    </row>
    <row r="974" customFormat="false" ht="18" hidden="false" customHeight="true" outlineLevel="0" collapsed="false">
      <c r="A974" s="16" t="str">
        <f aca="false">IF(B974&lt;&gt;"",ROW()-2,"")</f>
        <v/>
      </c>
      <c r="B974" s="17"/>
      <c r="C974" s="17"/>
      <c r="D974" s="18"/>
      <c r="E974" s="19"/>
      <c r="F974" s="18"/>
      <c r="G974" s="20"/>
      <c r="H974" s="21"/>
      <c r="I974" s="21"/>
      <c r="J974" s="22"/>
      <c r="K974" s="23" t="str">
        <f aca="false">IF(H974*J974=0,"",H974*J974)</f>
        <v/>
      </c>
      <c r="L974" s="24"/>
      <c r="M974" s="24"/>
      <c r="N974" s="23" t="str">
        <f aca="false">IF(L974+M974=0,"",L974+M974)</f>
        <v/>
      </c>
      <c r="O974" s="25" t="str">
        <f aca="false">IF(OR(H974="",I974="",J974=""),"",IF(F974="Long",(I974-H974)*J974*IF(G974="",1,G974),(H974-I974)*J974*IF(G974="",1,G974)))</f>
        <v/>
      </c>
      <c r="P974" s="26" t="str">
        <f aca="false">IF(O974="","",O974-IF(N974="",0,N974))</f>
        <v/>
      </c>
      <c r="Q974" s="27" t="str">
        <f aca="false">IFERROR(IF(P974="","",P974/K974),"")</f>
        <v/>
      </c>
      <c r="R974" s="19"/>
      <c r="S974" s="18"/>
      <c r="T974" s="28"/>
    </row>
    <row r="975" customFormat="false" ht="18" hidden="false" customHeight="true" outlineLevel="0" collapsed="false">
      <c r="A975" s="3" t="str">
        <f aca="false">IF(B975&lt;&gt;"",ROW()-2,"")</f>
        <v/>
      </c>
      <c r="B975" s="4"/>
      <c r="C975" s="4"/>
      <c r="D975" s="5"/>
      <c r="E975" s="6"/>
      <c r="F975" s="5"/>
      <c r="G975" s="7"/>
      <c r="H975" s="8"/>
      <c r="I975" s="8"/>
      <c r="J975" s="9"/>
      <c r="K975" s="10" t="str">
        <f aca="false">IF(H975*J975=0,"",H975*J975)</f>
        <v/>
      </c>
      <c r="L975" s="11"/>
      <c r="M975" s="11"/>
      <c r="N975" s="10" t="str">
        <f aca="false">IF(L975+M975=0,"",L975+M975)</f>
        <v/>
      </c>
      <c r="O975" s="12" t="str">
        <f aca="false">IF(OR(H975="",I975="",J975=""),"",IF(F975="Long",(I975-H975)*J975*IF(G975="",1,G975),(H975-I975)*J975*IF(G975="",1,G975)))</f>
        <v/>
      </c>
      <c r="P975" s="13" t="str">
        <f aca="false">IF(O975="","",O975-IF(N975="",0,N975))</f>
        <v/>
      </c>
      <c r="Q975" s="14" t="str">
        <f aca="false">IFERROR(IF(P975="","",P975/K975),"")</f>
        <v/>
      </c>
      <c r="R975" s="6"/>
      <c r="S975" s="5"/>
      <c r="T975" s="15"/>
    </row>
    <row r="976" customFormat="false" ht="18" hidden="false" customHeight="true" outlineLevel="0" collapsed="false">
      <c r="A976" s="16" t="str">
        <f aca="false">IF(B976&lt;&gt;"",ROW()-2,"")</f>
        <v/>
      </c>
      <c r="B976" s="17"/>
      <c r="C976" s="17"/>
      <c r="D976" s="18"/>
      <c r="E976" s="19"/>
      <c r="F976" s="18"/>
      <c r="G976" s="20"/>
      <c r="H976" s="21"/>
      <c r="I976" s="21"/>
      <c r="J976" s="22"/>
      <c r="K976" s="23" t="str">
        <f aca="false">IF(H976*J976=0,"",H976*J976)</f>
        <v/>
      </c>
      <c r="L976" s="24"/>
      <c r="M976" s="24"/>
      <c r="N976" s="23" t="str">
        <f aca="false">IF(L976+M976=0,"",L976+M976)</f>
        <v/>
      </c>
      <c r="O976" s="25" t="str">
        <f aca="false">IF(OR(H976="",I976="",J976=""),"",IF(F976="Long",(I976-H976)*J976*IF(G976="",1,G976),(H976-I976)*J976*IF(G976="",1,G976)))</f>
        <v/>
      </c>
      <c r="P976" s="26" t="str">
        <f aca="false">IF(O976="","",O976-IF(N976="",0,N976))</f>
        <v/>
      </c>
      <c r="Q976" s="27" t="str">
        <f aca="false">IFERROR(IF(P976="","",P976/K976),"")</f>
        <v/>
      </c>
      <c r="R976" s="19"/>
      <c r="S976" s="18"/>
      <c r="T976" s="28"/>
    </row>
    <row r="977" customFormat="false" ht="18" hidden="false" customHeight="true" outlineLevel="0" collapsed="false">
      <c r="A977" s="3" t="str">
        <f aca="false">IF(B977&lt;&gt;"",ROW()-2,"")</f>
        <v/>
      </c>
      <c r="B977" s="4"/>
      <c r="C977" s="4"/>
      <c r="D977" s="5"/>
      <c r="E977" s="6"/>
      <c r="F977" s="5"/>
      <c r="G977" s="7"/>
      <c r="H977" s="8"/>
      <c r="I977" s="8"/>
      <c r="J977" s="9"/>
      <c r="K977" s="10" t="str">
        <f aca="false">IF(H977*J977=0,"",H977*J977)</f>
        <v/>
      </c>
      <c r="L977" s="11"/>
      <c r="M977" s="11"/>
      <c r="N977" s="10" t="str">
        <f aca="false">IF(L977+M977=0,"",L977+M977)</f>
        <v/>
      </c>
      <c r="O977" s="12" t="str">
        <f aca="false">IF(OR(H977="",I977="",J977=""),"",IF(F977="Long",(I977-H977)*J977*IF(G977="",1,G977),(H977-I977)*J977*IF(G977="",1,G977)))</f>
        <v/>
      </c>
      <c r="P977" s="13" t="str">
        <f aca="false">IF(O977="","",O977-IF(N977="",0,N977))</f>
        <v/>
      </c>
      <c r="Q977" s="14" t="str">
        <f aca="false">IFERROR(IF(P977="","",P977/K977),"")</f>
        <v/>
      </c>
      <c r="R977" s="6"/>
      <c r="S977" s="5"/>
      <c r="T977" s="15"/>
    </row>
    <row r="978" customFormat="false" ht="18" hidden="false" customHeight="true" outlineLevel="0" collapsed="false">
      <c r="A978" s="16" t="str">
        <f aca="false">IF(B978&lt;&gt;"",ROW()-2,"")</f>
        <v/>
      </c>
      <c r="B978" s="17"/>
      <c r="C978" s="17"/>
      <c r="D978" s="18"/>
      <c r="E978" s="19"/>
      <c r="F978" s="18"/>
      <c r="G978" s="20"/>
      <c r="H978" s="21"/>
      <c r="I978" s="21"/>
      <c r="J978" s="22"/>
      <c r="K978" s="23" t="str">
        <f aca="false">IF(H978*J978=0,"",H978*J978)</f>
        <v/>
      </c>
      <c r="L978" s="24"/>
      <c r="M978" s="24"/>
      <c r="N978" s="23" t="str">
        <f aca="false">IF(L978+M978=0,"",L978+M978)</f>
        <v/>
      </c>
      <c r="O978" s="25" t="str">
        <f aca="false">IF(OR(H978="",I978="",J978=""),"",IF(F978="Long",(I978-H978)*J978*IF(G978="",1,G978),(H978-I978)*J978*IF(G978="",1,G978)))</f>
        <v/>
      </c>
      <c r="P978" s="26" t="str">
        <f aca="false">IF(O978="","",O978-IF(N978="",0,N978))</f>
        <v/>
      </c>
      <c r="Q978" s="27" t="str">
        <f aca="false">IFERROR(IF(P978="","",P978/K978),"")</f>
        <v/>
      </c>
      <c r="R978" s="19"/>
      <c r="S978" s="18"/>
      <c r="T978" s="28"/>
    </row>
    <row r="979" customFormat="false" ht="18" hidden="false" customHeight="true" outlineLevel="0" collapsed="false">
      <c r="A979" s="3" t="str">
        <f aca="false">IF(B979&lt;&gt;"",ROW()-2,"")</f>
        <v/>
      </c>
      <c r="B979" s="4"/>
      <c r="C979" s="4"/>
      <c r="D979" s="5"/>
      <c r="E979" s="6"/>
      <c r="F979" s="5"/>
      <c r="G979" s="7"/>
      <c r="H979" s="8"/>
      <c r="I979" s="8"/>
      <c r="J979" s="9"/>
      <c r="K979" s="10" t="str">
        <f aca="false">IF(H979*J979=0,"",H979*J979)</f>
        <v/>
      </c>
      <c r="L979" s="11"/>
      <c r="M979" s="11"/>
      <c r="N979" s="10" t="str">
        <f aca="false">IF(L979+M979=0,"",L979+M979)</f>
        <v/>
      </c>
      <c r="O979" s="12" t="str">
        <f aca="false">IF(OR(H979="",I979="",J979=""),"",IF(F979="Long",(I979-H979)*J979*IF(G979="",1,G979),(H979-I979)*J979*IF(G979="",1,G979)))</f>
        <v/>
      </c>
      <c r="P979" s="13" t="str">
        <f aca="false">IF(O979="","",O979-IF(N979="",0,N979))</f>
        <v/>
      </c>
      <c r="Q979" s="14" t="str">
        <f aca="false">IFERROR(IF(P979="","",P979/K979),"")</f>
        <v/>
      </c>
      <c r="R979" s="6"/>
      <c r="S979" s="5"/>
      <c r="T979" s="15"/>
    </row>
    <row r="980" customFormat="false" ht="18" hidden="false" customHeight="true" outlineLevel="0" collapsed="false">
      <c r="A980" s="16" t="str">
        <f aca="false">IF(B980&lt;&gt;"",ROW()-2,"")</f>
        <v/>
      </c>
      <c r="B980" s="17"/>
      <c r="C980" s="17"/>
      <c r="D980" s="18"/>
      <c r="E980" s="19"/>
      <c r="F980" s="18"/>
      <c r="G980" s="20"/>
      <c r="H980" s="21"/>
      <c r="I980" s="21"/>
      <c r="J980" s="22"/>
      <c r="K980" s="23" t="str">
        <f aca="false">IF(H980*J980=0,"",H980*J980)</f>
        <v/>
      </c>
      <c r="L980" s="24"/>
      <c r="M980" s="24"/>
      <c r="N980" s="23" t="str">
        <f aca="false">IF(L980+M980=0,"",L980+M980)</f>
        <v/>
      </c>
      <c r="O980" s="25" t="str">
        <f aca="false">IF(OR(H980="",I980="",J980=""),"",IF(F980="Long",(I980-H980)*J980*IF(G980="",1,G980),(H980-I980)*J980*IF(G980="",1,G980)))</f>
        <v/>
      </c>
      <c r="P980" s="26" t="str">
        <f aca="false">IF(O980="","",O980-IF(N980="",0,N980))</f>
        <v/>
      </c>
      <c r="Q980" s="27" t="str">
        <f aca="false">IFERROR(IF(P980="","",P980/K980),"")</f>
        <v/>
      </c>
      <c r="R980" s="19"/>
      <c r="S980" s="18"/>
      <c r="T980" s="28"/>
    </row>
    <row r="981" customFormat="false" ht="18" hidden="false" customHeight="true" outlineLevel="0" collapsed="false">
      <c r="A981" s="3" t="str">
        <f aca="false">IF(B981&lt;&gt;"",ROW()-2,"")</f>
        <v/>
      </c>
      <c r="B981" s="4"/>
      <c r="C981" s="4"/>
      <c r="D981" s="5"/>
      <c r="E981" s="6"/>
      <c r="F981" s="5"/>
      <c r="G981" s="7"/>
      <c r="H981" s="8"/>
      <c r="I981" s="8"/>
      <c r="J981" s="9"/>
      <c r="K981" s="10" t="str">
        <f aca="false">IF(H981*J981=0,"",H981*J981)</f>
        <v/>
      </c>
      <c r="L981" s="11"/>
      <c r="M981" s="11"/>
      <c r="N981" s="10" t="str">
        <f aca="false">IF(L981+M981=0,"",L981+M981)</f>
        <v/>
      </c>
      <c r="O981" s="12" t="str">
        <f aca="false">IF(OR(H981="",I981="",J981=""),"",IF(F981="Long",(I981-H981)*J981*IF(G981="",1,G981),(H981-I981)*J981*IF(G981="",1,G981)))</f>
        <v/>
      </c>
      <c r="P981" s="13" t="str">
        <f aca="false">IF(O981="","",O981-IF(N981="",0,N981))</f>
        <v/>
      </c>
      <c r="Q981" s="14" t="str">
        <f aca="false">IFERROR(IF(P981="","",P981/K981),"")</f>
        <v/>
      </c>
      <c r="R981" s="6"/>
      <c r="S981" s="5"/>
      <c r="T981" s="15"/>
    </row>
    <row r="982" customFormat="false" ht="18" hidden="false" customHeight="true" outlineLevel="0" collapsed="false">
      <c r="A982" s="16" t="str">
        <f aca="false">IF(B982&lt;&gt;"",ROW()-2,"")</f>
        <v/>
      </c>
      <c r="B982" s="17"/>
      <c r="C982" s="17"/>
      <c r="D982" s="18"/>
      <c r="E982" s="19"/>
      <c r="F982" s="18"/>
      <c r="G982" s="20"/>
      <c r="H982" s="21"/>
      <c r="I982" s="21"/>
      <c r="J982" s="22"/>
      <c r="K982" s="23" t="str">
        <f aca="false">IF(H982*J982=0,"",H982*J982)</f>
        <v/>
      </c>
      <c r="L982" s="24"/>
      <c r="M982" s="24"/>
      <c r="N982" s="23" t="str">
        <f aca="false">IF(L982+M982=0,"",L982+M982)</f>
        <v/>
      </c>
      <c r="O982" s="25" t="str">
        <f aca="false">IF(OR(H982="",I982="",J982=""),"",IF(F982="Long",(I982-H982)*J982*IF(G982="",1,G982),(H982-I982)*J982*IF(G982="",1,G982)))</f>
        <v/>
      </c>
      <c r="P982" s="26" t="str">
        <f aca="false">IF(O982="","",O982-IF(N982="",0,N982))</f>
        <v/>
      </c>
      <c r="Q982" s="27" t="str">
        <f aca="false">IFERROR(IF(P982="","",P982/K982),"")</f>
        <v/>
      </c>
      <c r="R982" s="19"/>
      <c r="S982" s="18"/>
      <c r="T982" s="28"/>
    </row>
    <row r="983" customFormat="false" ht="18" hidden="false" customHeight="true" outlineLevel="0" collapsed="false">
      <c r="A983" s="3" t="str">
        <f aca="false">IF(B983&lt;&gt;"",ROW()-2,"")</f>
        <v/>
      </c>
      <c r="B983" s="4"/>
      <c r="C983" s="4"/>
      <c r="D983" s="5"/>
      <c r="E983" s="6"/>
      <c r="F983" s="5"/>
      <c r="G983" s="7"/>
      <c r="H983" s="8"/>
      <c r="I983" s="8"/>
      <c r="J983" s="9"/>
      <c r="K983" s="10" t="str">
        <f aca="false">IF(H983*J983=0,"",H983*J983)</f>
        <v/>
      </c>
      <c r="L983" s="11"/>
      <c r="M983" s="11"/>
      <c r="N983" s="10" t="str">
        <f aca="false">IF(L983+M983=0,"",L983+M983)</f>
        <v/>
      </c>
      <c r="O983" s="12" t="str">
        <f aca="false">IF(OR(H983="",I983="",J983=""),"",IF(F983="Long",(I983-H983)*J983*IF(G983="",1,G983),(H983-I983)*J983*IF(G983="",1,G983)))</f>
        <v/>
      </c>
      <c r="P983" s="13" t="str">
        <f aca="false">IF(O983="","",O983-IF(N983="",0,N983))</f>
        <v/>
      </c>
      <c r="Q983" s="14" t="str">
        <f aca="false">IFERROR(IF(P983="","",P983/K983),"")</f>
        <v/>
      </c>
      <c r="R983" s="6"/>
      <c r="S983" s="5"/>
      <c r="T983" s="15"/>
    </row>
    <row r="984" customFormat="false" ht="18" hidden="false" customHeight="true" outlineLevel="0" collapsed="false">
      <c r="A984" s="16" t="str">
        <f aca="false">IF(B984&lt;&gt;"",ROW()-2,"")</f>
        <v/>
      </c>
      <c r="B984" s="17"/>
      <c r="C984" s="17"/>
      <c r="D984" s="18"/>
      <c r="E984" s="19"/>
      <c r="F984" s="18"/>
      <c r="G984" s="20"/>
      <c r="H984" s="21"/>
      <c r="I984" s="21"/>
      <c r="J984" s="22"/>
      <c r="K984" s="23" t="str">
        <f aca="false">IF(H984*J984=0,"",H984*J984)</f>
        <v/>
      </c>
      <c r="L984" s="24"/>
      <c r="M984" s="24"/>
      <c r="N984" s="23" t="str">
        <f aca="false">IF(L984+M984=0,"",L984+M984)</f>
        <v/>
      </c>
      <c r="O984" s="25" t="str">
        <f aca="false">IF(OR(H984="",I984="",J984=""),"",IF(F984="Long",(I984-H984)*J984*IF(G984="",1,G984),(H984-I984)*J984*IF(G984="",1,G984)))</f>
        <v/>
      </c>
      <c r="P984" s="26" t="str">
        <f aca="false">IF(O984="","",O984-IF(N984="",0,N984))</f>
        <v/>
      </c>
      <c r="Q984" s="27" t="str">
        <f aca="false">IFERROR(IF(P984="","",P984/K984),"")</f>
        <v/>
      </c>
      <c r="R984" s="19"/>
      <c r="S984" s="18"/>
      <c r="T984" s="28"/>
    </row>
    <row r="985" customFormat="false" ht="18" hidden="false" customHeight="true" outlineLevel="0" collapsed="false">
      <c r="A985" s="3" t="str">
        <f aca="false">IF(B985&lt;&gt;"",ROW()-2,"")</f>
        <v/>
      </c>
      <c r="B985" s="4"/>
      <c r="C985" s="4"/>
      <c r="D985" s="5"/>
      <c r="E985" s="6"/>
      <c r="F985" s="5"/>
      <c r="G985" s="7"/>
      <c r="H985" s="8"/>
      <c r="I985" s="8"/>
      <c r="J985" s="9"/>
      <c r="K985" s="10" t="str">
        <f aca="false">IF(H985*J985=0,"",H985*J985)</f>
        <v/>
      </c>
      <c r="L985" s="11"/>
      <c r="M985" s="11"/>
      <c r="N985" s="10" t="str">
        <f aca="false">IF(L985+M985=0,"",L985+M985)</f>
        <v/>
      </c>
      <c r="O985" s="12" t="str">
        <f aca="false">IF(OR(H985="",I985="",J985=""),"",IF(F985="Long",(I985-H985)*J985*IF(G985="",1,G985),(H985-I985)*J985*IF(G985="",1,G985)))</f>
        <v/>
      </c>
      <c r="P985" s="13" t="str">
        <f aca="false">IF(O985="","",O985-IF(N985="",0,N985))</f>
        <v/>
      </c>
      <c r="Q985" s="14" t="str">
        <f aca="false">IFERROR(IF(P985="","",P985/K985),"")</f>
        <v/>
      </c>
      <c r="R985" s="6"/>
      <c r="S985" s="5"/>
      <c r="T985" s="15"/>
    </row>
    <row r="986" customFormat="false" ht="18" hidden="false" customHeight="true" outlineLevel="0" collapsed="false">
      <c r="A986" s="16" t="str">
        <f aca="false">IF(B986&lt;&gt;"",ROW()-2,"")</f>
        <v/>
      </c>
      <c r="B986" s="17"/>
      <c r="C986" s="17"/>
      <c r="D986" s="18"/>
      <c r="E986" s="19"/>
      <c r="F986" s="18"/>
      <c r="G986" s="20"/>
      <c r="H986" s="21"/>
      <c r="I986" s="21"/>
      <c r="J986" s="22"/>
      <c r="K986" s="23" t="str">
        <f aca="false">IF(H986*J986=0,"",H986*J986)</f>
        <v/>
      </c>
      <c r="L986" s="24"/>
      <c r="M986" s="24"/>
      <c r="N986" s="23" t="str">
        <f aca="false">IF(L986+M986=0,"",L986+M986)</f>
        <v/>
      </c>
      <c r="O986" s="25" t="str">
        <f aca="false">IF(OR(H986="",I986="",J986=""),"",IF(F986="Long",(I986-H986)*J986*IF(G986="",1,G986),(H986-I986)*J986*IF(G986="",1,G986)))</f>
        <v/>
      </c>
      <c r="P986" s="26" t="str">
        <f aca="false">IF(O986="","",O986-IF(N986="",0,N986))</f>
        <v/>
      </c>
      <c r="Q986" s="27" t="str">
        <f aca="false">IFERROR(IF(P986="","",P986/K986),"")</f>
        <v/>
      </c>
      <c r="R986" s="19"/>
      <c r="S986" s="18"/>
      <c r="T986" s="28"/>
    </row>
    <row r="987" customFormat="false" ht="18" hidden="false" customHeight="true" outlineLevel="0" collapsed="false">
      <c r="A987" s="3" t="str">
        <f aca="false">IF(B987&lt;&gt;"",ROW()-2,"")</f>
        <v/>
      </c>
      <c r="B987" s="4"/>
      <c r="C987" s="4"/>
      <c r="D987" s="5"/>
      <c r="E987" s="6"/>
      <c r="F987" s="5"/>
      <c r="G987" s="7"/>
      <c r="H987" s="8"/>
      <c r="I987" s="8"/>
      <c r="J987" s="9"/>
      <c r="K987" s="10" t="str">
        <f aca="false">IF(H987*J987=0,"",H987*J987)</f>
        <v/>
      </c>
      <c r="L987" s="11"/>
      <c r="M987" s="11"/>
      <c r="N987" s="10" t="str">
        <f aca="false">IF(L987+M987=0,"",L987+M987)</f>
        <v/>
      </c>
      <c r="O987" s="12" t="str">
        <f aca="false">IF(OR(H987="",I987="",J987=""),"",IF(F987="Long",(I987-H987)*J987*IF(G987="",1,G987),(H987-I987)*J987*IF(G987="",1,G987)))</f>
        <v/>
      </c>
      <c r="P987" s="13" t="str">
        <f aca="false">IF(O987="","",O987-IF(N987="",0,N987))</f>
        <v/>
      </c>
      <c r="Q987" s="14" t="str">
        <f aca="false">IFERROR(IF(P987="","",P987/K987),"")</f>
        <v/>
      </c>
      <c r="R987" s="6"/>
      <c r="S987" s="5"/>
      <c r="T987" s="15"/>
    </row>
    <row r="988" customFormat="false" ht="18" hidden="false" customHeight="true" outlineLevel="0" collapsed="false">
      <c r="A988" s="16" t="str">
        <f aca="false">IF(B988&lt;&gt;"",ROW()-2,"")</f>
        <v/>
      </c>
      <c r="B988" s="17"/>
      <c r="C988" s="17"/>
      <c r="D988" s="18"/>
      <c r="E988" s="19"/>
      <c r="F988" s="18"/>
      <c r="G988" s="20"/>
      <c r="H988" s="21"/>
      <c r="I988" s="21"/>
      <c r="J988" s="22"/>
      <c r="K988" s="23" t="str">
        <f aca="false">IF(H988*J988=0,"",H988*J988)</f>
        <v/>
      </c>
      <c r="L988" s="24"/>
      <c r="M988" s="24"/>
      <c r="N988" s="23" t="str">
        <f aca="false">IF(L988+M988=0,"",L988+M988)</f>
        <v/>
      </c>
      <c r="O988" s="25" t="str">
        <f aca="false">IF(OR(H988="",I988="",J988=""),"",IF(F988="Long",(I988-H988)*J988*IF(G988="",1,G988),(H988-I988)*J988*IF(G988="",1,G988)))</f>
        <v/>
      </c>
      <c r="P988" s="26" t="str">
        <f aca="false">IF(O988="","",O988-IF(N988="",0,N988))</f>
        <v/>
      </c>
      <c r="Q988" s="27" t="str">
        <f aca="false">IFERROR(IF(P988="","",P988/K988),"")</f>
        <v/>
      </c>
      <c r="R988" s="19"/>
      <c r="S988" s="18"/>
      <c r="T988" s="28"/>
    </row>
    <row r="989" customFormat="false" ht="18" hidden="false" customHeight="true" outlineLevel="0" collapsed="false">
      <c r="A989" s="3" t="str">
        <f aca="false">IF(B989&lt;&gt;"",ROW()-2,"")</f>
        <v/>
      </c>
      <c r="B989" s="4"/>
      <c r="C989" s="4"/>
      <c r="D989" s="5"/>
      <c r="E989" s="6"/>
      <c r="F989" s="5"/>
      <c r="G989" s="7"/>
      <c r="H989" s="8"/>
      <c r="I989" s="8"/>
      <c r="J989" s="9"/>
      <c r="K989" s="10" t="str">
        <f aca="false">IF(H989*J989=0,"",H989*J989)</f>
        <v/>
      </c>
      <c r="L989" s="11"/>
      <c r="M989" s="11"/>
      <c r="N989" s="10" t="str">
        <f aca="false">IF(L989+M989=0,"",L989+M989)</f>
        <v/>
      </c>
      <c r="O989" s="12" t="str">
        <f aca="false">IF(OR(H989="",I989="",J989=""),"",IF(F989="Long",(I989-H989)*J989*IF(G989="",1,G989),(H989-I989)*J989*IF(G989="",1,G989)))</f>
        <v/>
      </c>
      <c r="P989" s="13" t="str">
        <f aca="false">IF(O989="","",O989-IF(N989="",0,N989))</f>
        <v/>
      </c>
      <c r="Q989" s="14" t="str">
        <f aca="false">IFERROR(IF(P989="","",P989/K989),"")</f>
        <v/>
      </c>
      <c r="R989" s="6"/>
      <c r="S989" s="5"/>
      <c r="T989" s="15"/>
    </row>
    <row r="990" customFormat="false" ht="18" hidden="false" customHeight="true" outlineLevel="0" collapsed="false">
      <c r="A990" s="16" t="str">
        <f aca="false">IF(B990&lt;&gt;"",ROW()-2,"")</f>
        <v/>
      </c>
      <c r="B990" s="17"/>
      <c r="C990" s="17"/>
      <c r="D990" s="18"/>
      <c r="E990" s="19"/>
      <c r="F990" s="18"/>
      <c r="G990" s="20"/>
      <c r="H990" s="21"/>
      <c r="I990" s="21"/>
      <c r="J990" s="22"/>
      <c r="K990" s="23" t="str">
        <f aca="false">IF(H990*J990=0,"",H990*J990)</f>
        <v/>
      </c>
      <c r="L990" s="24"/>
      <c r="M990" s="24"/>
      <c r="N990" s="23" t="str">
        <f aca="false">IF(L990+M990=0,"",L990+M990)</f>
        <v/>
      </c>
      <c r="O990" s="25" t="str">
        <f aca="false">IF(OR(H990="",I990="",J990=""),"",IF(F990="Long",(I990-H990)*J990*IF(G990="",1,G990),(H990-I990)*J990*IF(G990="",1,G990)))</f>
        <v/>
      </c>
      <c r="P990" s="26" t="str">
        <f aca="false">IF(O990="","",O990-IF(N990="",0,N990))</f>
        <v/>
      </c>
      <c r="Q990" s="27" t="str">
        <f aca="false">IFERROR(IF(P990="","",P990/K990),"")</f>
        <v/>
      </c>
      <c r="R990" s="19"/>
      <c r="S990" s="18"/>
      <c r="T990" s="28"/>
    </row>
    <row r="991" customFormat="false" ht="18" hidden="false" customHeight="true" outlineLevel="0" collapsed="false">
      <c r="A991" s="3" t="str">
        <f aca="false">IF(B991&lt;&gt;"",ROW()-2,"")</f>
        <v/>
      </c>
      <c r="B991" s="4"/>
      <c r="C991" s="4"/>
      <c r="D991" s="5"/>
      <c r="E991" s="6"/>
      <c r="F991" s="5"/>
      <c r="G991" s="7"/>
      <c r="H991" s="8"/>
      <c r="I991" s="8"/>
      <c r="J991" s="9"/>
      <c r="K991" s="10" t="str">
        <f aca="false">IF(H991*J991=0,"",H991*J991)</f>
        <v/>
      </c>
      <c r="L991" s="11"/>
      <c r="M991" s="11"/>
      <c r="N991" s="10" t="str">
        <f aca="false">IF(L991+M991=0,"",L991+M991)</f>
        <v/>
      </c>
      <c r="O991" s="12" t="str">
        <f aca="false">IF(OR(H991="",I991="",J991=""),"",IF(F991="Long",(I991-H991)*J991*IF(G991="",1,G991),(H991-I991)*J991*IF(G991="",1,G991)))</f>
        <v/>
      </c>
      <c r="P991" s="13" t="str">
        <f aca="false">IF(O991="","",O991-IF(N991="",0,N991))</f>
        <v/>
      </c>
      <c r="Q991" s="14" t="str">
        <f aca="false">IFERROR(IF(P991="","",P991/K991),"")</f>
        <v/>
      </c>
      <c r="R991" s="6"/>
      <c r="S991" s="5"/>
      <c r="T991" s="15"/>
    </row>
    <row r="992" customFormat="false" ht="18" hidden="false" customHeight="true" outlineLevel="0" collapsed="false">
      <c r="A992" s="16" t="str">
        <f aca="false">IF(B992&lt;&gt;"",ROW()-2,"")</f>
        <v/>
      </c>
      <c r="B992" s="17"/>
      <c r="C992" s="17"/>
      <c r="D992" s="18"/>
      <c r="E992" s="19"/>
      <c r="F992" s="18"/>
      <c r="G992" s="20"/>
      <c r="H992" s="21"/>
      <c r="I992" s="21"/>
      <c r="J992" s="22"/>
      <c r="K992" s="23" t="str">
        <f aca="false">IF(H992*J992=0,"",H992*J992)</f>
        <v/>
      </c>
      <c r="L992" s="24"/>
      <c r="M992" s="24"/>
      <c r="N992" s="23" t="str">
        <f aca="false">IF(L992+M992=0,"",L992+M992)</f>
        <v/>
      </c>
      <c r="O992" s="25" t="str">
        <f aca="false">IF(OR(H992="",I992="",J992=""),"",IF(F992="Long",(I992-H992)*J992*IF(G992="",1,G992),(H992-I992)*J992*IF(G992="",1,G992)))</f>
        <v/>
      </c>
      <c r="P992" s="26" t="str">
        <f aca="false">IF(O992="","",O992-IF(N992="",0,N992))</f>
        <v/>
      </c>
      <c r="Q992" s="27" t="str">
        <f aca="false">IFERROR(IF(P992="","",P992/K992),"")</f>
        <v/>
      </c>
      <c r="R992" s="19"/>
      <c r="S992" s="18"/>
      <c r="T992" s="28"/>
    </row>
    <row r="993" customFormat="false" ht="18" hidden="false" customHeight="true" outlineLevel="0" collapsed="false">
      <c r="A993" s="3" t="str">
        <f aca="false">IF(B993&lt;&gt;"",ROW()-2,"")</f>
        <v/>
      </c>
      <c r="B993" s="4"/>
      <c r="C993" s="4"/>
      <c r="D993" s="5"/>
      <c r="E993" s="6"/>
      <c r="F993" s="5"/>
      <c r="G993" s="7"/>
      <c r="H993" s="8"/>
      <c r="I993" s="8"/>
      <c r="J993" s="9"/>
      <c r="K993" s="10" t="str">
        <f aca="false">IF(H993*J993=0,"",H993*J993)</f>
        <v/>
      </c>
      <c r="L993" s="11"/>
      <c r="M993" s="11"/>
      <c r="N993" s="10" t="str">
        <f aca="false">IF(L993+M993=0,"",L993+M993)</f>
        <v/>
      </c>
      <c r="O993" s="12" t="str">
        <f aca="false">IF(OR(H993="",I993="",J993=""),"",IF(F993="Long",(I993-H993)*J993*IF(G993="",1,G993),(H993-I993)*J993*IF(G993="",1,G993)))</f>
        <v/>
      </c>
      <c r="P993" s="13" t="str">
        <f aca="false">IF(O993="","",O993-IF(N993="",0,N993))</f>
        <v/>
      </c>
      <c r="Q993" s="14" t="str">
        <f aca="false">IFERROR(IF(P993="","",P993/K993),"")</f>
        <v/>
      </c>
      <c r="R993" s="6"/>
      <c r="S993" s="5"/>
      <c r="T993" s="15"/>
    </row>
    <row r="994" customFormat="false" ht="18" hidden="false" customHeight="true" outlineLevel="0" collapsed="false">
      <c r="A994" s="16" t="str">
        <f aca="false">IF(B994&lt;&gt;"",ROW()-2,"")</f>
        <v/>
      </c>
      <c r="B994" s="17"/>
      <c r="C994" s="17"/>
      <c r="D994" s="18"/>
      <c r="E994" s="19"/>
      <c r="F994" s="18"/>
      <c r="G994" s="20"/>
      <c r="H994" s="21"/>
      <c r="I994" s="21"/>
      <c r="J994" s="22"/>
      <c r="K994" s="23" t="str">
        <f aca="false">IF(H994*J994=0,"",H994*J994)</f>
        <v/>
      </c>
      <c r="L994" s="24"/>
      <c r="M994" s="24"/>
      <c r="N994" s="23" t="str">
        <f aca="false">IF(L994+M994=0,"",L994+M994)</f>
        <v/>
      </c>
      <c r="O994" s="25" t="str">
        <f aca="false">IF(OR(H994="",I994="",J994=""),"",IF(F994="Long",(I994-H994)*J994*IF(G994="",1,G994),(H994-I994)*J994*IF(G994="",1,G994)))</f>
        <v/>
      </c>
      <c r="P994" s="26" t="str">
        <f aca="false">IF(O994="","",O994-IF(N994="",0,N994))</f>
        <v/>
      </c>
      <c r="Q994" s="27" t="str">
        <f aca="false">IFERROR(IF(P994="","",P994/K994),"")</f>
        <v/>
      </c>
      <c r="R994" s="19"/>
      <c r="S994" s="18"/>
      <c r="T994" s="28"/>
    </row>
    <row r="995" customFormat="false" ht="18" hidden="false" customHeight="true" outlineLevel="0" collapsed="false">
      <c r="A995" s="3" t="str">
        <f aca="false">IF(B995&lt;&gt;"",ROW()-2,"")</f>
        <v/>
      </c>
      <c r="B995" s="4"/>
      <c r="C995" s="4"/>
      <c r="D995" s="5"/>
      <c r="E995" s="6"/>
      <c r="F995" s="5"/>
      <c r="G995" s="7"/>
      <c r="H995" s="8"/>
      <c r="I995" s="8"/>
      <c r="J995" s="9"/>
      <c r="K995" s="10" t="str">
        <f aca="false">IF(H995*J995=0,"",H995*J995)</f>
        <v/>
      </c>
      <c r="L995" s="11"/>
      <c r="M995" s="11"/>
      <c r="N995" s="10" t="str">
        <f aca="false">IF(L995+M995=0,"",L995+M995)</f>
        <v/>
      </c>
      <c r="O995" s="12" t="str">
        <f aca="false">IF(OR(H995="",I995="",J995=""),"",IF(F995="Long",(I995-H995)*J995*IF(G995="",1,G995),(H995-I995)*J995*IF(G995="",1,G995)))</f>
        <v/>
      </c>
      <c r="P995" s="13" t="str">
        <f aca="false">IF(O995="","",O995-IF(N995="",0,N995))</f>
        <v/>
      </c>
      <c r="Q995" s="14" t="str">
        <f aca="false">IFERROR(IF(P995="","",P995/K995),"")</f>
        <v/>
      </c>
      <c r="R995" s="6"/>
      <c r="S995" s="5"/>
      <c r="T995" s="15"/>
    </row>
    <row r="996" customFormat="false" ht="18" hidden="false" customHeight="true" outlineLevel="0" collapsed="false">
      <c r="A996" s="16" t="str">
        <f aca="false">IF(B996&lt;&gt;"",ROW()-2,"")</f>
        <v/>
      </c>
      <c r="B996" s="17"/>
      <c r="C996" s="17"/>
      <c r="D996" s="18"/>
      <c r="E996" s="19"/>
      <c r="F996" s="18"/>
      <c r="G996" s="20"/>
      <c r="H996" s="21"/>
      <c r="I996" s="21"/>
      <c r="J996" s="22"/>
      <c r="K996" s="23" t="str">
        <f aca="false">IF(H996*J996=0,"",H996*J996)</f>
        <v/>
      </c>
      <c r="L996" s="24"/>
      <c r="M996" s="24"/>
      <c r="N996" s="23" t="str">
        <f aca="false">IF(L996+M996=0,"",L996+M996)</f>
        <v/>
      </c>
      <c r="O996" s="25" t="str">
        <f aca="false">IF(OR(H996="",I996="",J996=""),"",IF(F996="Long",(I996-H996)*J996*IF(G996="",1,G996),(H996-I996)*J996*IF(G996="",1,G996)))</f>
        <v/>
      </c>
      <c r="P996" s="26" t="str">
        <f aca="false">IF(O996="","",O996-IF(N996="",0,N996))</f>
        <v/>
      </c>
      <c r="Q996" s="27" t="str">
        <f aca="false">IFERROR(IF(P996="","",P996/K996),"")</f>
        <v/>
      </c>
      <c r="R996" s="19"/>
      <c r="S996" s="18"/>
      <c r="T996" s="28"/>
    </row>
    <row r="997" customFormat="false" ht="18" hidden="false" customHeight="true" outlineLevel="0" collapsed="false">
      <c r="A997" s="3" t="str">
        <f aca="false">IF(B997&lt;&gt;"",ROW()-2,"")</f>
        <v/>
      </c>
      <c r="B997" s="4"/>
      <c r="C997" s="4"/>
      <c r="D997" s="5"/>
      <c r="E997" s="6"/>
      <c r="F997" s="5"/>
      <c r="G997" s="7"/>
      <c r="H997" s="8"/>
      <c r="I997" s="8"/>
      <c r="J997" s="9"/>
      <c r="K997" s="10" t="str">
        <f aca="false">IF(H997*J997=0,"",H997*J997)</f>
        <v/>
      </c>
      <c r="L997" s="11"/>
      <c r="M997" s="11"/>
      <c r="N997" s="10" t="str">
        <f aca="false">IF(L997+M997=0,"",L997+M997)</f>
        <v/>
      </c>
      <c r="O997" s="12" t="str">
        <f aca="false">IF(OR(H997="",I997="",J997=""),"",IF(F997="Long",(I997-H997)*J997*IF(G997="",1,G997),(H997-I997)*J997*IF(G997="",1,G997)))</f>
        <v/>
      </c>
      <c r="P997" s="13" t="str">
        <f aca="false">IF(O997="","",O997-IF(N997="",0,N997))</f>
        <v/>
      </c>
      <c r="Q997" s="14" t="str">
        <f aca="false">IFERROR(IF(P997="","",P997/K997),"")</f>
        <v/>
      </c>
      <c r="R997" s="6"/>
      <c r="S997" s="5"/>
      <c r="T997" s="15"/>
    </row>
    <row r="998" customFormat="false" ht="18" hidden="false" customHeight="true" outlineLevel="0" collapsed="false">
      <c r="A998" s="16" t="str">
        <f aca="false">IF(B998&lt;&gt;"",ROW()-2,"")</f>
        <v/>
      </c>
      <c r="B998" s="17"/>
      <c r="C998" s="17"/>
      <c r="D998" s="18"/>
      <c r="E998" s="19"/>
      <c r="F998" s="18"/>
      <c r="G998" s="20"/>
      <c r="H998" s="21"/>
      <c r="I998" s="21"/>
      <c r="J998" s="22"/>
      <c r="K998" s="23" t="str">
        <f aca="false">IF(H998*J998=0,"",H998*J998)</f>
        <v/>
      </c>
      <c r="L998" s="24"/>
      <c r="M998" s="24"/>
      <c r="N998" s="23" t="str">
        <f aca="false">IF(L998+M998=0,"",L998+M998)</f>
        <v/>
      </c>
      <c r="O998" s="25" t="str">
        <f aca="false">IF(OR(H998="",I998="",J998=""),"",IF(F998="Long",(I998-H998)*J998*IF(G998="",1,G998),(H998-I998)*J998*IF(G998="",1,G998)))</f>
        <v/>
      </c>
      <c r="P998" s="26" t="str">
        <f aca="false">IF(O998="","",O998-IF(N998="",0,N998))</f>
        <v/>
      </c>
      <c r="Q998" s="27" t="str">
        <f aca="false">IFERROR(IF(P998="","",P998/K998),"")</f>
        <v/>
      </c>
      <c r="R998" s="19"/>
      <c r="S998" s="18"/>
      <c r="T998" s="28"/>
    </row>
    <row r="999" customFormat="false" ht="18" hidden="false" customHeight="true" outlineLevel="0" collapsed="false">
      <c r="A999" s="3" t="str">
        <f aca="false">IF(B999&lt;&gt;"",ROW()-2,"")</f>
        <v/>
      </c>
      <c r="B999" s="4"/>
      <c r="C999" s="4"/>
      <c r="D999" s="5"/>
      <c r="E999" s="6"/>
      <c r="F999" s="5"/>
      <c r="G999" s="7"/>
      <c r="H999" s="8"/>
      <c r="I999" s="8"/>
      <c r="J999" s="9"/>
      <c r="K999" s="10" t="str">
        <f aca="false">IF(H999*J999=0,"",H999*J999)</f>
        <v/>
      </c>
      <c r="L999" s="11"/>
      <c r="M999" s="11"/>
      <c r="N999" s="10" t="str">
        <f aca="false">IF(L999+M999=0,"",L999+M999)</f>
        <v/>
      </c>
      <c r="O999" s="12" t="str">
        <f aca="false">IF(OR(H999="",I999="",J999=""),"",IF(F999="Long",(I999-H999)*J999*IF(G999="",1,G999),(H999-I999)*J999*IF(G999="",1,G999)))</f>
        <v/>
      </c>
      <c r="P999" s="13" t="str">
        <f aca="false">IF(O999="","",O999-IF(N999="",0,N999))</f>
        <v/>
      </c>
      <c r="Q999" s="14" t="str">
        <f aca="false">IFERROR(IF(P999="","",P999/K999),"")</f>
        <v/>
      </c>
      <c r="R999" s="6"/>
      <c r="S999" s="5"/>
      <c r="T999" s="15"/>
    </row>
    <row r="1000" customFormat="false" ht="18" hidden="false" customHeight="true" outlineLevel="0" collapsed="false">
      <c r="A1000" s="16" t="str">
        <f aca="false">IF(B1000&lt;&gt;"",ROW()-2,"")</f>
        <v/>
      </c>
      <c r="B1000" s="17"/>
      <c r="C1000" s="17"/>
      <c r="D1000" s="18"/>
      <c r="E1000" s="19"/>
      <c r="F1000" s="18"/>
      <c r="G1000" s="20"/>
      <c r="H1000" s="21"/>
      <c r="I1000" s="21"/>
      <c r="J1000" s="22"/>
      <c r="K1000" s="23" t="str">
        <f aca="false">IF(H1000*J1000=0,"",H1000*J1000)</f>
        <v/>
      </c>
      <c r="L1000" s="24"/>
      <c r="M1000" s="24"/>
      <c r="N1000" s="23" t="str">
        <f aca="false">IF(L1000+M1000=0,"",L1000+M1000)</f>
        <v/>
      </c>
      <c r="O1000" s="25" t="str">
        <f aca="false">IF(OR(H1000="",I1000="",J1000=""),"",IF(F1000="Long",(I1000-H1000)*J1000*IF(G1000="",1,G1000),(H1000-I1000)*J1000*IF(G1000="",1,G1000)))</f>
        <v/>
      </c>
      <c r="P1000" s="26" t="str">
        <f aca="false">IF(O1000="","",O1000-IF(N1000="",0,N1000))</f>
        <v/>
      </c>
      <c r="Q1000" s="27" t="str">
        <f aca="false">IFERROR(IF(P1000="","",P1000/K1000),"")</f>
        <v/>
      </c>
      <c r="R1000" s="19"/>
      <c r="S1000" s="18"/>
      <c r="T1000" s="28"/>
    </row>
    <row r="1001" customFormat="false" ht="18" hidden="false" customHeight="true" outlineLevel="0" collapsed="false">
      <c r="A1001" s="3" t="str">
        <f aca="false">IF(B1001&lt;&gt;"",ROW()-2,"")</f>
        <v/>
      </c>
      <c r="B1001" s="4"/>
      <c r="C1001" s="4"/>
      <c r="D1001" s="5"/>
      <c r="E1001" s="6"/>
      <c r="F1001" s="5"/>
      <c r="G1001" s="7"/>
      <c r="H1001" s="8"/>
      <c r="I1001" s="8"/>
      <c r="J1001" s="9"/>
      <c r="K1001" s="10" t="str">
        <f aca="false">IF(H1001*J1001=0,"",H1001*J1001)</f>
        <v/>
      </c>
      <c r="L1001" s="11"/>
      <c r="M1001" s="11"/>
      <c r="N1001" s="10" t="str">
        <f aca="false">IF(L1001+M1001=0,"",L1001+M1001)</f>
        <v/>
      </c>
      <c r="O1001" s="12" t="str">
        <f aca="false">IF(OR(H1001="",I1001="",J1001=""),"",IF(F1001="Long",(I1001-H1001)*J1001*IF(G1001="",1,G1001),(H1001-I1001)*J1001*IF(G1001="",1,G1001)))</f>
        <v/>
      </c>
      <c r="P1001" s="13" t="str">
        <f aca="false">IF(O1001="","",O1001-IF(N1001="",0,N1001))</f>
        <v/>
      </c>
      <c r="Q1001" s="14" t="str">
        <f aca="false">IFERROR(IF(P1001="","",P1001/K1001),"")</f>
        <v/>
      </c>
      <c r="R1001" s="6"/>
      <c r="S1001" s="5"/>
      <c r="T1001" s="15"/>
    </row>
    <row r="1002" customFormat="false" ht="18" hidden="false" customHeight="true" outlineLevel="0" collapsed="false">
      <c r="A1002" s="16" t="str">
        <f aca="false">IF(B1002&lt;&gt;"",ROW()-2,"")</f>
        <v/>
      </c>
      <c r="B1002" s="17"/>
      <c r="C1002" s="17"/>
      <c r="D1002" s="18"/>
      <c r="E1002" s="19"/>
      <c r="F1002" s="18"/>
      <c r="G1002" s="20"/>
      <c r="H1002" s="21"/>
      <c r="I1002" s="21"/>
      <c r="J1002" s="22"/>
      <c r="K1002" s="23" t="str">
        <f aca="false">IF(H1002*J1002=0,"",H1002*J1002)</f>
        <v/>
      </c>
      <c r="L1002" s="24"/>
      <c r="M1002" s="24"/>
      <c r="N1002" s="23" t="str">
        <f aca="false">IF(L1002+M1002=0,"",L1002+M1002)</f>
        <v/>
      </c>
      <c r="O1002" s="25" t="str">
        <f aca="false">IF(OR(H1002="",I1002="",J1002=""),"",IF(F1002="Long",(I1002-H1002)*J1002*IF(G1002="",1,G1002),(H1002-I1002)*J1002*IF(G1002="",1,G1002)))</f>
        <v/>
      </c>
      <c r="P1002" s="26" t="str">
        <f aca="false">IF(O1002="","",O1002-IF(N1002="",0,N1002))</f>
        <v/>
      </c>
      <c r="Q1002" s="27" t="str">
        <f aca="false">IFERROR(IF(P1002="","",P1002/K1002),"")</f>
        <v/>
      </c>
      <c r="R1002" s="19"/>
      <c r="S1002" s="18"/>
      <c r="T1002" s="28"/>
    </row>
  </sheetData>
  <mergeCells count="1">
    <mergeCell ref="A1:T1"/>
  </mergeCells>
  <conditionalFormatting sqref="P3:P100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Q3:Q1002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R3:R1002">
    <cfRule type="cellIs" priority="6" operator="equal" aboveAverage="0" equalAverage="0" bottom="0" percent="0" rank="0" text="" dxfId="2">
      <formula>"Abierta"</formula>
    </cfRule>
    <cfRule type="cellIs" priority="7" operator="equal" aboveAverage="0" equalAverage="0" bottom="0" percent="0" rank="0" text="" dxfId="0">
      <formula>"Cerrada"</formula>
    </cfRule>
  </conditionalFormatting>
  <dataValidations count="4">
    <dataValidation allowBlank="true" errorStyle="stop" operator="between" showDropDown="false" showErrorMessage="false" showInputMessage="false" sqref="D3:D1002" type="list">
      <formula1>"Spot,Futures"</formula1>
      <formula2>0</formula2>
    </dataValidation>
    <dataValidation allowBlank="true" errorStyle="stop" operator="between" showDropDown="false" showErrorMessage="false" showInputMessage="false" sqref="F3:F1002" type="list">
      <formula1>"Long,Short"</formula1>
      <formula2>0</formula2>
    </dataValidation>
    <dataValidation allowBlank="true" errorStyle="stop" operator="between" showDropDown="false" showErrorMessage="false" showInputMessage="false" sqref="R3:R1002" type="list">
      <formula1>"Abierta,Cerrada"</formula1>
      <formula2>0</formula2>
    </dataValidation>
    <dataValidation allowBlank="true" errorStyle="stop" operator="between" showDropDown="false" showErrorMessage="false" showInputMessage="false" sqref="S3:S1002" type="list">
      <formula1>"Binance,Bybit,OKX,Coinbase,Kraken,KuCoin,Bitget,Otro"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2"/>
    <col collapsed="false" customWidth="true" hidden="false" outlineLevel="0" max="4" min="4" style="0" width="24"/>
    <col collapsed="false" customWidth="true" hidden="false" outlineLevel="0" max="5" min="5" style="0" width="2"/>
    <col collapsed="false" customWidth="true" hidden="false" outlineLevel="0" max="6" min="6" style="0" width="24"/>
    <col collapsed="false" customWidth="true" hidden="false" outlineLevel="0" max="7" min="7" style="0" width="2"/>
    <col collapsed="false" customWidth="true" hidden="false" outlineLevel="0" max="8" min="8" style="0" width="24"/>
    <col collapsed="false" customWidth="true" hidden="false" outlineLevel="0" max="9" min="9" style="0" width="2"/>
  </cols>
  <sheetData>
    <row r="1" customFormat="false" ht="49.5" hidden="false" customHeight="true" outlineLevel="0" collapsed="false">
      <c r="A1" s="29" t="s">
        <v>21</v>
      </c>
      <c r="B1" s="29"/>
      <c r="C1" s="29"/>
      <c r="D1" s="29"/>
      <c r="E1" s="29"/>
      <c r="F1" s="29"/>
      <c r="G1" s="29"/>
      <c r="H1" s="29"/>
      <c r="I1" s="29"/>
    </row>
    <row r="2" customFormat="false" ht="21.75" hidden="false" customHeight="true" outlineLevel="0" collapsed="false">
      <c r="A2" s="30" t="s">
        <v>22</v>
      </c>
      <c r="B2" s="30"/>
      <c r="C2" s="30"/>
      <c r="D2" s="30"/>
      <c r="E2" s="30"/>
      <c r="F2" s="30"/>
      <c r="G2" s="30"/>
      <c r="H2" s="30"/>
      <c r="I2" s="30"/>
    </row>
    <row r="3" customFormat="false" ht="9.75" hidden="false" customHeight="true" outlineLevel="0" collapsed="false">
      <c r="A3" s="31"/>
      <c r="B3" s="31"/>
      <c r="C3" s="31"/>
      <c r="D3" s="31"/>
      <c r="E3" s="31"/>
      <c r="F3" s="31"/>
      <c r="G3" s="31"/>
      <c r="H3" s="31"/>
      <c r="I3" s="31"/>
    </row>
    <row r="4" customFormat="false" ht="27.75" hidden="false" customHeight="true" outlineLevel="0" collapsed="false">
      <c r="A4" s="32" t="s">
        <v>23</v>
      </c>
      <c r="B4" s="32"/>
      <c r="C4" s="32"/>
      <c r="D4" s="32"/>
      <c r="E4" s="32"/>
      <c r="F4" s="32"/>
      <c r="G4" s="32"/>
      <c r="H4" s="32"/>
      <c r="I4" s="32"/>
    </row>
    <row r="5" customFormat="false" ht="19.5" hidden="false" customHeight="true" outlineLevel="0" collapsed="false">
      <c r="B5" s="33" t="s">
        <v>24</v>
      </c>
      <c r="D5" s="33" t="s">
        <v>25</v>
      </c>
      <c r="F5" s="33" t="s">
        <v>26</v>
      </c>
      <c r="H5" s="33" t="s">
        <v>27</v>
      </c>
    </row>
    <row r="6" customFormat="false" ht="39.75" hidden="false" customHeight="true" outlineLevel="0" collapsed="false">
      <c r="B6" s="34" t="n">
        <f aca="false">COUNTA(Operaciones!B3:B1002)</f>
        <v>0</v>
      </c>
      <c r="D6" s="35" t="str">
        <f aca="false">IFERROR(COUNTIFS(Operaciones!R3:R1002,"Cerrada",Operaciones!P3:P1002,"&gt;0")/COUNTIF(Operaciones!R3:R1002,"Cerrada"),"-")</f>
        <v>-</v>
      </c>
      <c r="F6" s="36" t="n">
        <f aca="false">IFERROR(SUM(Operaciones!P3:P1002),0)</f>
        <v>0</v>
      </c>
      <c r="H6" s="37" t="n">
        <f aca="false">IFERROR(SUM(Operaciones!N3:N1002),0)</f>
        <v>0</v>
      </c>
    </row>
    <row r="7" customFormat="false" ht="7.5" hidden="false" customHeight="true" outlineLevel="0" collapsed="false"/>
    <row r="9" customFormat="false" ht="19.5" hidden="false" customHeight="true" outlineLevel="0" collapsed="false">
      <c r="B9" s="33" t="s">
        <v>28</v>
      </c>
      <c r="D9" s="33" t="s">
        <v>29</v>
      </c>
      <c r="F9" s="33" t="s">
        <v>30</v>
      </c>
      <c r="H9" s="33" t="s">
        <v>31</v>
      </c>
    </row>
    <row r="10" customFormat="false" ht="39.75" hidden="false" customHeight="true" outlineLevel="0" collapsed="false">
      <c r="B10" s="38" t="n">
        <f aca="false">IFERROR(MAX(Operaciones!P3:P1002),0)</f>
        <v>0</v>
      </c>
      <c r="D10" s="39" t="n">
        <f aca="false">IFERROR(MIN(Operaciones!P3:P1002),0)</f>
        <v>0</v>
      </c>
      <c r="F10" s="40" t="str">
        <f aca="false">IFERROR(AVERAGEIF(Operaciones!R3:R1002,"Cerrada",Operaciones!Q3:Q1002),"-")</f>
        <v>-</v>
      </c>
      <c r="H10" s="34" t="n">
        <f aca="false">COUNTIF(Operaciones!R3:R1002,"Abierta")</f>
        <v>0</v>
      </c>
    </row>
    <row r="11" customFormat="false" ht="7.5" hidden="false" customHeight="true" outlineLevel="0" collapsed="false"/>
    <row r="13" customFormat="false" ht="13.5" hidden="false" customHeight="true" outlineLevel="0" collapsed="false"/>
    <row r="14" customFormat="false" ht="27.75" hidden="false" customHeight="true" outlineLevel="0" collapsed="false">
      <c r="A14" s="32" t="s">
        <v>32</v>
      </c>
      <c r="B14" s="32"/>
      <c r="C14" s="32"/>
      <c r="D14" s="32"/>
      <c r="E14" s="32"/>
      <c r="F14" s="32"/>
      <c r="G14" s="32"/>
      <c r="H14" s="32"/>
      <c r="I14" s="32"/>
    </row>
    <row r="15" customFormat="false" ht="21.75" hidden="false" customHeight="true" outlineLevel="0" collapsed="false">
      <c r="B15" s="41" t="s">
        <v>33</v>
      </c>
      <c r="C15" s="41"/>
      <c r="D15" s="41"/>
      <c r="E15" s="41"/>
      <c r="F15" s="42" t="n">
        <f aca="false">COUNTIF(Operaciones!D3:D1002,"Spot")</f>
        <v>0</v>
      </c>
      <c r="G15" s="42"/>
      <c r="H15" s="42"/>
    </row>
    <row r="16" customFormat="false" ht="21.75" hidden="false" customHeight="true" outlineLevel="0" collapsed="false">
      <c r="B16" s="43" t="s">
        <v>34</v>
      </c>
      <c r="C16" s="43"/>
      <c r="D16" s="43"/>
      <c r="E16" s="43"/>
      <c r="F16" s="44" t="n">
        <f aca="false">COUNTIF(Operaciones!D3:D1002,"Futures")</f>
        <v>0</v>
      </c>
      <c r="G16" s="44"/>
      <c r="H16" s="44"/>
    </row>
    <row r="17" customFormat="false" ht="21.75" hidden="false" customHeight="true" outlineLevel="0" collapsed="false">
      <c r="B17" s="41" t="s">
        <v>35</v>
      </c>
      <c r="C17" s="41"/>
      <c r="D17" s="41"/>
      <c r="E17" s="41"/>
      <c r="F17" s="42" t="n">
        <f aca="false">COUNTIF(Operaciones!R3:R1002,"Cerrada")</f>
        <v>0</v>
      </c>
      <c r="G17" s="42"/>
      <c r="H17" s="42"/>
    </row>
    <row r="18" customFormat="false" ht="21.75" hidden="false" customHeight="true" outlineLevel="0" collapsed="false">
      <c r="B18" s="43" t="s">
        <v>36</v>
      </c>
      <c r="C18" s="43"/>
      <c r="D18" s="43"/>
      <c r="E18" s="43"/>
      <c r="F18" s="44" t="n">
        <f aca="false">COUNTIFS(Operaciones!R3:R1002,"Cerrada",Operaciones!P3:P1002,"&gt;0")</f>
        <v>0</v>
      </c>
      <c r="G18" s="44"/>
      <c r="H18" s="44"/>
    </row>
    <row r="19" customFormat="false" ht="21.75" hidden="false" customHeight="true" outlineLevel="0" collapsed="false">
      <c r="B19" s="41" t="s">
        <v>37</v>
      </c>
      <c r="C19" s="41"/>
      <c r="D19" s="41"/>
      <c r="E19" s="41"/>
      <c r="F19" s="42" t="n">
        <f aca="false">COUNTIFS(Operaciones!R3:R1002,"Cerrada",Operaciones!P3:P1002,"&lt;0")</f>
        <v>0</v>
      </c>
      <c r="G19" s="42"/>
      <c r="H19" s="42"/>
    </row>
    <row r="20" customFormat="false" ht="21.75" hidden="false" customHeight="true" outlineLevel="0" collapsed="false">
      <c r="B20" s="43" t="s">
        <v>38</v>
      </c>
      <c r="C20" s="43"/>
      <c r="D20" s="43"/>
      <c r="E20" s="43"/>
      <c r="F20" s="45" t="n">
        <f aca="false">IFERROR(SUM(Operaciones!K3:K1002),0)</f>
        <v>0</v>
      </c>
      <c r="G20" s="45"/>
      <c r="H20" s="45"/>
    </row>
    <row r="21" customFormat="false" ht="21.75" hidden="false" customHeight="true" outlineLevel="0" collapsed="false">
      <c r="B21" s="41" t="s">
        <v>39</v>
      </c>
      <c r="C21" s="41"/>
      <c r="D21" s="41"/>
      <c r="E21" s="41"/>
      <c r="F21" s="46" t="n">
        <f aca="false">IFERROR(AVERAGEIFS(Operaciones!P3:P1002,Operaciones!R3:R1002,"Cerrada",Operaciones!P3:P1002,"&gt;0"),0)</f>
        <v>0</v>
      </c>
      <c r="G21" s="46"/>
      <c r="H21" s="46"/>
    </row>
    <row r="22" customFormat="false" ht="21.75" hidden="false" customHeight="true" outlineLevel="0" collapsed="false">
      <c r="B22" s="43" t="s">
        <v>40</v>
      </c>
      <c r="C22" s="43"/>
      <c r="D22" s="43"/>
      <c r="E22" s="43"/>
      <c r="F22" s="47" t="n">
        <f aca="false">IFERROR(AVERAGEIFS(Operaciones!P3:P1002,Operaciones!R3:R1002,"Cerrada",Operaciones!P3:P1002,"&lt;0"),0)</f>
        <v>0</v>
      </c>
      <c r="G22" s="47"/>
      <c r="H22" s="47"/>
    </row>
    <row r="23" customFormat="false" ht="21.75" hidden="false" customHeight="true" outlineLevel="0" collapsed="false">
      <c r="B23" s="41" t="s">
        <v>41</v>
      </c>
      <c r="C23" s="41"/>
      <c r="D23" s="41"/>
      <c r="E23" s="41"/>
      <c r="F23" s="48" t="str">
        <f aca="false">IFERROR(ABS(AVERAGEIFS(Operaciones!P3:P1002,Operaciones!R3:R1002,"Cerrada",Operaciones!P3:P1002,"&gt;0"))/ABS(AVERAGEIFS(Operaciones!P3:P1002,Operaciones!R3:R1002,"Cerrada",Operaciones!P3:P1002,"&lt;0")),"-")</f>
        <v>-</v>
      </c>
      <c r="G23" s="48"/>
      <c r="H23" s="48"/>
    </row>
    <row r="24" customFormat="false" ht="21.75" hidden="false" customHeight="true" outlineLevel="0" collapsed="false">
      <c r="B24" s="43" t="s">
        <v>42</v>
      </c>
      <c r="C24" s="43"/>
      <c r="D24" s="43"/>
      <c r="E24" s="43"/>
      <c r="F24" s="49" t="n">
        <f aca="false">IFERROR(SUM(Operaciones!P3:P1002)/SUM(Operaciones!K3:K1002),0)</f>
        <v>0</v>
      </c>
      <c r="G24" s="49"/>
      <c r="H24" s="49"/>
    </row>
  </sheetData>
  <mergeCells count="24">
    <mergeCell ref="A1:I1"/>
    <mergeCell ref="A2:I2"/>
    <mergeCell ref="A4:I4"/>
    <mergeCell ref="A14:I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B3C"/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3"/>
    <col collapsed="false" customWidth="true" hidden="false" outlineLevel="0" max="10" min="10" style="0" width="12"/>
    <col collapsed="false" customWidth="true" hidden="false" outlineLevel="0" max="12" min="11" style="0" width="14"/>
  </cols>
  <sheetData>
    <row r="1" customFormat="false" ht="43.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7.75" hidden="false" customHeight="true" outlineLevel="0" collapsed="false">
      <c r="B3" s="32" t="s">
        <v>44</v>
      </c>
      <c r="C3" s="32"/>
      <c r="D3" s="32"/>
      <c r="E3" s="32"/>
      <c r="F3" s="32"/>
      <c r="G3" s="32"/>
      <c r="H3" s="32"/>
    </row>
    <row r="4" customFormat="false" ht="31.5" hidden="false" customHeight="true" outlineLevel="0" collapsed="false">
      <c r="B4" s="2" t="s">
        <v>5</v>
      </c>
      <c r="C4" s="2" t="s">
        <v>45</v>
      </c>
      <c r="D4" s="2" t="s">
        <v>46</v>
      </c>
      <c r="E4" s="2" t="s">
        <v>47</v>
      </c>
      <c r="F4" s="2" t="s">
        <v>25</v>
      </c>
      <c r="G4" s="2" t="s">
        <v>48</v>
      </c>
      <c r="H4" s="2" t="s">
        <v>49</v>
      </c>
    </row>
    <row r="5" customFormat="false" ht="19.5" hidden="false" customHeight="true" outlineLevel="0" collapsed="false">
      <c r="B5" s="50" t="s">
        <v>50</v>
      </c>
      <c r="C5" s="51" t="n">
        <f aca="false">COUNTIF(Operaciones!E3:E1002,B5)</f>
        <v>0</v>
      </c>
      <c r="D5" s="52" t="n">
        <f aca="false">IFERROR(SUMIF(Operaciones!E3:E1002,B5,Operaciones!P3:P1002),0)</f>
        <v>0</v>
      </c>
      <c r="E5" s="53" t="n">
        <f aca="false">IFERROR(AVERAGEIF(Operaciones!E3:E1002,B5,Operaciones!P3:P1002),0)</f>
        <v>0</v>
      </c>
      <c r="F5" s="54" t="str">
        <f aca="false">IFERROR(COUNTIFS(Operaciones!E3:E1002,B5,Operaciones!P3:P1002,"&gt;0")/C5,"-")</f>
        <v>-</v>
      </c>
      <c r="G5" s="55" t="n">
        <f aca="false">IFERROR(maxifs(Operaciones!P3:P1002,Operaciones!E3:E1002,B5),0)</f>
        <v>0</v>
      </c>
      <c r="H5" s="56" t="n">
        <f aca="false">IFERROR(minifs(Operaciones!P3:P1002,Operaciones!E3:E1002,B5),0)</f>
        <v>0</v>
      </c>
    </row>
    <row r="6" customFormat="false" ht="19.5" hidden="false" customHeight="true" outlineLevel="0" collapsed="false">
      <c r="B6" s="57" t="s">
        <v>51</v>
      </c>
      <c r="C6" s="58" t="n">
        <f aca="false">COUNTIF(Operaciones!E3:E1002,B6)</f>
        <v>0</v>
      </c>
      <c r="D6" s="59" t="n">
        <f aca="false">IFERROR(SUMIF(Operaciones!E3:E1002,B6,Operaciones!P3:P1002),0)</f>
        <v>0</v>
      </c>
      <c r="E6" s="60" t="n">
        <f aca="false">IFERROR(AVERAGEIF(Operaciones!E3:E1002,B6,Operaciones!P3:P1002),0)</f>
        <v>0</v>
      </c>
      <c r="F6" s="61" t="str">
        <f aca="false">IFERROR(COUNTIFS(Operaciones!E3:E1002,B6,Operaciones!P3:P1002,"&gt;0")/C6,"-")</f>
        <v>-</v>
      </c>
      <c r="G6" s="62" t="n">
        <f aca="false">IFERROR(maxifs(Operaciones!P3:P1002,Operaciones!E3:E1002,B6),0)</f>
        <v>0</v>
      </c>
      <c r="H6" s="63" t="n">
        <f aca="false">IFERROR(minifs(Operaciones!P3:P1002,Operaciones!E3:E1002,B6),0)</f>
        <v>0</v>
      </c>
    </row>
    <row r="7" customFormat="false" ht="19.5" hidden="false" customHeight="true" outlineLevel="0" collapsed="false">
      <c r="B7" s="50" t="s">
        <v>52</v>
      </c>
      <c r="C7" s="51" t="n">
        <f aca="false">COUNTIF(Operaciones!E3:E1002,B7)</f>
        <v>0</v>
      </c>
      <c r="D7" s="52" t="n">
        <f aca="false">IFERROR(SUMIF(Operaciones!E3:E1002,B7,Operaciones!P3:P1002),0)</f>
        <v>0</v>
      </c>
      <c r="E7" s="53" t="n">
        <f aca="false">IFERROR(AVERAGEIF(Operaciones!E3:E1002,B7,Operaciones!P3:P1002),0)</f>
        <v>0</v>
      </c>
      <c r="F7" s="54" t="str">
        <f aca="false">IFERROR(COUNTIFS(Operaciones!E3:E1002,B7,Operaciones!P3:P1002,"&gt;0")/C7,"-")</f>
        <v>-</v>
      </c>
      <c r="G7" s="55" t="n">
        <f aca="false">IFERROR(maxifs(Operaciones!P3:P1002,Operaciones!E3:E1002,B7),0)</f>
        <v>0</v>
      </c>
      <c r="H7" s="56" t="n">
        <f aca="false">IFERROR(minifs(Operaciones!P3:P1002,Operaciones!E3:E1002,B7),0)</f>
        <v>0</v>
      </c>
    </row>
    <row r="8" customFormat="false" ht="19.5" hidden="false" customHeight="true" outlineLevel="0" collapsed="false">
      <c r="B8" s="57" t="s">
        <v>53</v>
      </c>
      <c r="C8" s="58" t="n">
        <f aca="false">COUNTIF(Operaciones!E3:E1002,B8)</f>
        <v>0</v>
      </c>
      <c r="D8" s="59" t="n">
        <f aca="false">IFERROR(SUMIF(Operaciones!E3:E1002,B8,Operaciones!P3:P1002),0)</f>
        <v>0</v>
      </c>
      <c r="E8" s="60" t="n">
        <f aca="false">IFERROR(AVERAGEIF(Operaciones!E3:E1002,B8,Operaciones!P3:P1002),0)</f>
        <v>0</v>
      </c>
      <c r="F8" s="61" t="str">
        <f aca="false">IFERROR(COUNTIFS(Operaciones!E3:E1002,B8,Operaciones!P3:P1002,"&gt;0")/C8,"-")</f>
        <v>-</v>
      </c>
      <c r="G8" s="62" t="n">
        <f aca="false">IFERROR(maxifs(Operaciones!P3:P1002,Operaciones!E3:E1002,B8),0)</f>
        <v>0</v>
      </c>
      <c r="H8" s="63" t="n">
        <f aca="false">IFERROR(minifs(Operaciones!P3:P1002,Operaciones!E3:E1002,B8),0)</f>
        <v>0</v>
      </c>
    </row>
    <row r="9" customFormat="false" ht="19.5" hidden="false" customHeight="true" outlineLevel="0" collapsed="false">
      <c r="B9" s="50" t="s">
        <v>54</v>
      </c>
      <c r="C9" s="51" t="n">
        <f aca="false">COUNTIF(Operaciones!E3:E1002,B9)</f>
        <v>0</v>
      </c>
      <c r="D9" s="52" t="n">
        <f aca="false">IFERROR(SUMIF(Operaciones!E3:E1002,B9,Operaciones!P3:P1002),0)</f>
        <v>0</v>
      </c>
      <c r="E9" s="53" t="n">
        <f aca="false">IFERROR(AVERAGEIF(Operaciones!E3:E1002,B9,Operaciones!P3:P1002),0)</f>
        <v>0</v>
      </c>
      <c r="F9" s="54" t="str">
        <f aca="false">IFERROR(COUNTIFS(Operaciones!E3:E1002,B9,Operaciones!P3:P1002,"&gt;0")/C9,"-")</f>
        <v>-</v>
      </c>
      <c r="G9" s="55" t="n">
        <f aca="false">IFERROR(maxifs(Operaciones!P3:P1002,Operaciones!E3:E1002,B9),0)</f>
        <v>0</v>
      </c>
      <c r="H9" s="56" t="n">
        <f aca="false">IFERROR(minifs(Operaciones!P3:P1002,Operaciones!E3:E1002,B9),0)</f>
        <v>0</v>
      </c>
    </row>
    <row r="10" customFormat="false" ht="19.5" hidden="false" customHeight="true" outlineLevel="0" collapsed="false">
      <c r="B10" s="57" t="s">
        <v>55</v>
      </c>
      <c r="C10" s="58" t="n">
        <f aca="false">COUNTIF(Operaciones!E3:E1002,B10)</f>
        <v>0</v>
      </c>
      <c r="D10" s="59" t="n">
        <f aca="false">IFERROR(SUMIF(Operaciones!E3:E1002,B10,Operaciones!P3:P1002),0)</f>
        <v>0</v>
      </c>
      <c r="E10" s="60" t="n">
        <f aca="false">IFERROR(AVERAGEIF(Operaciones!E3:E1002,B10,Operaciones!P3:P1002),0)</f>
        <v>0</v>
      </c>
      <c r="F10" s="61" t="str">
        <f aca="false">IFERROR(COUNTIFS(Operaciones!E3:E1002,B10,Operaciones!P3:P1002,"&gt;0")/C10,"-")</f>
        <v>-</v>
      </c>
      <c r="G10" s="62" t="n">
        <f aca="false">IFERROR(maxifs(Operaciones!P3:P1002,Operaciones!E3:E1002,B10),0)</f>
        <v>0</v>
      </c>
      <c r="H10" s="63" t="n">
        <f aca="false">IFERROR(minifs(Operaciones!P3:P1002,Operaciones!E3:E1002,B10),0)</f>
        <v>0</v>
      </c>
    </row>
    <row r="11" customFormat="false" ht="19.5" hidden="false" customHeight="true" outlineLevel="0" collapsed="false">
      <c r="B11" s="50" t="s">
        <v>56</v>
      </c>
      <c r="C11" s="51" t="n">
        <f aca="false">COUNTIF(Operaciones!E3:E1002,B11)</f>
        <v>0</v>
      </c>
      <c r="D11" s="52" t="n">
        <f aca="false">IFERROR(SUMIF(Operaciones!E3:E1002,B11,Operaciones!P3:P1002),0)</f>
        <v>0</v>
      </c>
      <c r="E11" s="53" t="n">
        <f aca="false">IFERROR(AVERAGEIF(Operaciones!E3:E1002,B11,Operaciones!P3:P1002),0)</f>
        <v>0</v>
      </c>
      <c r="F11" s="54" t="str">
        <f aca="false">IFERROR(COUNTIFS(Operaciones!E3:E1002,B11,Operaciones!P3:P1002,"&gt;0")/C11,"-")</f>
        <v>-</v>
      </c>
      <c r="G11" s="55" t="n">
        <f aca="false">IFERROR(maxifs(Operaciones!P3:P1002,Operaciones!E3:E1002,B11),0)</f>
        <v>0</v>
      </c>
      <c r="H11" s="56" t="n">
        <f aca="false">IFERROR(minifs(Operaciones!P3:P1002,Operaciones!E3:E1002,B11),0)</f>
        <v>0</v>
      </c>
    </row>
    <row r="12" customFormat="false" ht="19.5" hidden="false" customHeight="true" outlineLevel="0" collapsed="false">
      <c r="B12" s="57" t="s">
        <v>57</v>
      </c>
      <c r="C12" s="58" t="n">
        <f aca="false">COUNTIF(Operaciones!E3:E1002,B12)</f>
        <v>0</v>
      </c>
      <c r="D12" s="59" t="n">
        <f aca="false">IFERROR(SUMIF(Operaciones!E3:E1002,B12,Operaciones!P3:P1002),0)</f>
        <v>0</v>
      </c>
      <c r="E12" s="60" t="n">
        <f aca="false">IFERROR(AVERAGEIF(Operaciones!E3:E1002,B12,Operaciones!P3:P1002),0)</f>
        <v>0</v>
      </c>
      <c r="F12" s="61" t="str">
        <f aca="false">IFERROR(COUNTIFS(Operaciones!E3:E1002,B12,Operaciones!P3:P1002,"&gt;0")/C12,"-")</f>
        <v>-</v>
      </c>
      <c r="G12" s="62" t="n">
        <f aca="false">IFERROR(maxifs(Operaciones!P3:P1002,Operaciones!E3:E1002,B12),0)</f>
        <v>0</v>
      </c>
      <c r="H12" s="63" t="n">
        <f aca="false">IFERROR(minifs(Operaciones!P3:P1002,Operaciones!E3:E1002,B12),0)</f>
        <v>0</v>
      </c>
    </row>
    <row r="13" customFormat="false" ht="19.5" hidden="false" customHeight="true" outlineLevel="0" collapsed="false">
      <c r="B13" s="50" t="s">
        <v>58</v>
      </c>
      <c r="C13" s="51" t="n">
        <f aca="false">COUNTIF(Operaciones!E3:E1002,B13)</f>
        <v>0</v>
      </c>
      <c r="D13" s="52" t="n">
        <f aca="false">IFERROR(SUMIF(Operaciones!E3:E1002,B13,Operaciones!P3:P1002),0)</f>
        <v>0</v>
      </c>
      <c r="E13" s="53" t="n">
        <f aca="false">IFERROR(AVERAGEIF(Operaciones!E3:E1002,B13,Operaciones!P3:P1002),0)</f>
        <v>0</v>
      </c>
      <c r="F13" s="54" t="str">
        <f aca="false">IFERROR(COUNTIFS(Operaciones!E3:E1002,B13,Operaciones!P3:P1002,"&gt;0")/C13,"-")</f>
        <v>-</v>
      </c>
      <c r="G13" s="55" t="n">
        <f aca="false">IFERROR(maxifs(Operaciones!P3:P1002,Operaciones!E3:E1002,B13),0)</f>
        <v>0</v>
      </c>
      <c r="H13" s="56" t="n">
        <f aca="false">IFERROR(minifs(Operaciones!P3:P1002,Operaciones!E3:E1002,B13),0)</f>
        <v>0</v>
      </c>
    </row>
    <row r="14" customFormat="false" ht="19.5" hidden="false" customHeight="true" outlineLevel="0" collapsed="false">
      <c r="B14" s="57" t="s">
        <v>59</v>
      </c>
      <c r="C14" s="58" t="n">
        <f aca="false">COUNTIF(Operaciones!E3:E1002,B14)</f>
        <v>0</v>
      </c>
      <c r="D14" s="59" t="n">
        <f aca="false">IFERROR(SUMIF(Operaciones!E3:E1002,B14,Operaciones!P3:P1002),0)</f>
        <v>0</v>
      </c>
      <c r="E14" s="60" t="n">
        <f aca="false">IFERROR(AVERAGEIF(Operaciones!E3:E1002,B14,Operaciones!P3:P1002),0)</f>
        <v>0</v>
      </c>
      <c r="F14" s="61" t="str">
        <f aca="false">IFERROR(COUNTIFS(Operaciones!E3:E1002,B14,Operaciones!P3:P1002,"&gt;0")/C14,"-")</f>
        <v>-</v>
      </c>
      <c r="G14" s="62" t="n">
        <f aca="false">IFERROR(maxifs(Operaciones!P3:P1002,Operaciones!E3:E1002,B14),0)</f>
        <v>0</v>
      </c>
      <c r="H14" s="63" t="n">
        <f aca="false">IFERROR(minifs(Operaciones!P3:P1002,Operaciones!E3:E1002,B14),0)</f>
        <v>0</v>
      </c>
    </row>
    <row r="15" customFormat="false" ht="19.5" hidden="false" customHeight="true" outlineLevel="0" collapsed="false">
      <c r="B15" s="50" t="s">
        <v>60</v>
      </c>
      <c r="C15" s="51" t="n">
        <f aca="false">COUNTIF(Operaciones!E3:E1002,B15)</f>
        <v>0</v>
      </c>
      <c r="D15" s="52" t="n">
        <f aca="false">IFERROR(SUMIF(Operaciones!E3:E1002,B15,Operaciones!P3:P1002),0)</f>
        <v>0</v>
      </c>
      <c r="E15" s="53" t="n">
        <f aca="false">IFERROR(AVERAGEIF(Operaciones!E3:E1002,B15,Operaciones!P3:P1002),0)</f>
        <v>0</v>
      </c>
      <c r="F15" s="54" t="str">
        <f aca="false">IFERROR(COUNTIFS(Operaciones!E3:E1002,B15,Operaciones!P3:P1002,"&gt;0")/C15,"-")</f>
        <v>-</v>
      </c>
      <c r="G15" s="55" t="n">
        <f aca="false">IFERROR(maxifs(Operaciones!P3:P1002,Operaciones!E3:E1002,B15),0)</f>
        <v>0</v>
      </c>
      <c r="H15" s="56" t="n">
        <f aca="false">IFERROR(minifs(Operaciones!P3:P1002,Operaciones!E3:E1002,B15),0)</f>
        <v>0</v>
      </c>
    </row>
    <row r="18" customFormat="false" ht="13.5" hidden="false" customHeight="true" outlineLevel="0" collapsed="false"/>
    <row r="19" customFormat="false" ht="27.75" hidden="false" customHeight="true" outlineLevel="0" collapsed="false">
      <c r="B19" s="32" t="s">
        <v>61</v>
      </c>
      <c r="C19" s="32"/>
      <c r="D19" s="32"/>
      <c r="E19" s="32"/>
      <c r="F19" s="32"/>
      <c r="G19" s="32"/>
      <c r="H19" s="32"/>
    </row>
    <row r="20" customFormat="false" ht="31.5" hidden="false" customHeight="true" outlineLevel="0" collapsed="false">
      <c r="B20" s="2" t="s">
        <v>4</v>
      </c>
      <c r="C20" s="2" t="s">
        <v>45</v>
      </c>
      <c r="D20" s="2" t="s">
        <v>46</v>
      </c>
      <c r="E20" s="2" t="s">
        <v>47</v>
      </c>
      <c r="F20" s="2" t="s">
        <v>25</v>
      </c>
      <c r="G20" s="2" t="s">
        <v>48</v>
      </c>
      <c r="H20" s="2" t="s">
        <v>49</v>
      </c>
    </row>
    <row r="21" customFormat="false" ht="21.75" hidden="false" customHeight="true" outlineLevel="0" collapsed="false">
      <c r="B21" s="50" t="s">
        <v>62</v>
      </c>
      <c r="C21" s="51" t="n">
        <f aca="false">COUNTIF(Operaciones!D3:D1002,B21)</f>
        <v>0</v>
      </c>
      <c r="D21" s="53" t="n">
        <f aca="false">IFERROR(SUMIF(Operaciones!D3:D1002,B21,Operaciones!P3:P1002),0)</f>
        <v>0</v>
      </c>
      <c r="E21" s="53" t="n">
        <f aca="false">IFERROR(AVERAGEIF(Operaciones!D3:D1002,B21,Operaciones!P3:P1002),0)</f>
        <v>0</v>
      </c>
      <c r="F21" s="54" t="str">
        <f aca="false">IFERROR(COUNTIFS(Operaciones!D3:D1002,B21,Operaciones!P3:P1002,"&gt;0")/C21,"-")</f>
        <v>-</v>
      </c>
      <c r="G21" s="55" t="n">
        <f aca="false">IFERROR(maxifs(Operaciones!P3:P1002,Operaciones!D3:D1002,B21),0)</f>
        <v>0</v>
      </c>
      <c r="H21" s="56" t="n">
        <f aca="false">IFERROR(minifs(Operaciones!P3:P1002,Operaciones!D3:D1002,B21),0)</f>
        <v>0</v>
      </c>
    </row>
    <row r="22" customFormat="false" ht="21.75" hidden="false" customHeight="true" outlineLevel="0" collapsed="false">
      <c r="B22" s="57" t="s">
        <v>63</v>
      </c>
      <c r="C22" s="58" t="n">
        <f aca="false">COUNTIF(Operaciones!D3:D1002,B22)</f>
        <v>0</v>
      </c>
      <c r="D22" s="60" t="n">
        <f aca="false">IFERROR(SUMIF(Operaciones!D3:D1002,B22,Operaciones!P3:P1002),0)</f>
        <v>0</v>
      </c>
      <c r="E22" s="60" t="n">
        <f aca="false">IFERROR(AVERAGEIF(Operaciones!D3:D1002,B22,Operaciones!P3:P1002),0)</f>
        <v>0</v>
      </c>
      <c r="F22" s="61" t="str">
        <f aca="false">IFERROR(COUNTIFS(Operaciones!D3:D1002,B22,Operaciones!P3:P1002,"&gt;0")/C22,"-")</f>
        <v>-</v>
      </c>
      <c r="G22" s="62" t="n">
        <f aca="false">IFERROR(maxifs(Operaciones!P3:P1002,Operaciones!D3:D1002,B22),0)</f>
        <v>0</v>
      </c>
      <c r="H22" s="63" t="n">
        <f aca="false">IFERROR(minifs(Operaciones!P3:P1002,Operaciones!D3:D1002,B22),0)</f>
        <v>0</v>
      </c>
    </row>
    <row r="24" customFormat="false" ht="13.5" hidden="false" customHeight="true" outlineLevel="0" collapsed="false"/>
    <row r="25" customFormat="false" ht="27.75" hidden="false" customHeight="true" outlineLevel="0" collapsed="false">
      <c r="B25" s="32" t="s">
        <v>64</v>
      </c>
      <c r="C25" s="32"/>
      <c r="D25" s="32"/>
      <c r="E25" s="32"/>
      <c r="F25" s="32"/>
      <c r="G25" s="32"/>
      <c r="H25" s="32"/>
    </row>
    <row r="26" customFormat="false" ht="31.5" hidden="false" customHeight="true" outlineLevel="0" collapsed="false">
      <c r="B26" s="2" t="s">
        <v>65</v>
      </c>
      <c r="C26" s="2" t="s">
        <v>45</v>
      </c>
      <c r="D26" s="2" t="s">
        <v>46</v>
      </c>
      <c r="E26" s="2" t="s">
        <v>47</v>
      </c>
      <c r="F26" s="2" t="s">
        <v>25</v>
      </c>
      <c r="G26" s="2" t="s">
        <v>48</v>
      </c>
      <c r="H26" s="2" t="s">
        <v>49</v>
      </c>
    </row>
    <row r="27" customFormat="false" ht="19.5" hidden="false" customHeight="true" outlineLevel="0" collapsed="false">
      <c r="B27" s="64"/>
      <c r="C27" s="51" t="n">
        <f aca="false">IFERROR(SUMPRODUCT((MONTH(Operaciones!B3:B1002)=MONTH(B27))*(YEAR(Operaciones!B3:B1002)=YEAR(B27))*(Operaciones!B3:B1002&lt;&gt;"")),"-")</f>
        <v>0</v>
      </c>
      <c r="D27" s="52" t="str">
        <f aca="false">IFERROR(SUMPRODUCT((MONTH(Operaciones!B3:B1002)=MONTH(B27))*(YEAR(Operaciones!B3:B1002)=YEAR(B27))*(Operaciones!B3:B1002&lt;&gt;"")*Operaciones!P3:P1002),"-")</f>
        <v>-</v>
      </c>
      <c r="E27" s="53" t="str">
        <f aca="false">IFERROR(D27/C27,"-")</f>
        <v>-</v>
      </c>
      <c r="F27" s="54" t="str">
        <f aca="false">IFERROR(SUMPRODUCT((MONTH(Operaciones!B3:B1002)=MONTH(B27))*(YEAR(Operaciones!B3:B1002)=YEAR(B27))*(Operaciones!P3:P1002&gt;0)*(Operaciones!B3:B1002&lt;&gt;""))/C27,"-")</f>
        <v>-</v>
      </c>
      <c r="G27" s="55" t="str">
        <f aca="false">IFERROR(maxifs(Operaciones!P3:P1002,Operaciones!B3:B1002,"&gt;="&amp;DATE(YEAR(B27),MONTH(B27),1),Operaciones!B3:B1002,"&lt;"&amp;DATE(YEAR(B27),MONTH(B27)+1,1)),"-")</f>
        <v>-</v>
      </c>
      <c r="H27" s="56" t="str">
        <f aca="false">IFERROR(minifs(Operaciones!P3:P1002,Operaciones!B3:B1002,"&gt;="&amp;DATE(YEAR(B27),MONTH(B27),1),Operaciones!B3:B1002,"&lt;"&amp;DATE(YEAR(B27),MONTH(B27)+1,1)),"-")</f>
        <v>-</v>
      </c>
    </row>
    <row r="28" customFormat="false" ht="19.5" hidden="false" customHeight="true" outlineLevel="0" collapsed="false">
      <c r="B28" s="65"/>
      <c r="C28" s="58" t="n">
        <f aca="false">IFERROR(SUMPRODUCT((MONTH(Operaciones!B3:B1002)=MONTH(B28))*(YEAR(Operaciones!B3:B1002)=YEAR(B28))*(Operaciones!B3:B1002&lt;&gt;"")),"-")</f>
        <v>0</v>
      </c>
      <c r="D28" s="59" t="str">
        <f aca="false">IFERROR(SUMPRODUCT((MONTH(Operaciones!B3:B1002)=MONTH(B28))*(YEAR(Operaciones!B3:B1002)=YEAR(B28))*(Operaciones!B3:B1002&lt;&gt;"")*Operaciones!P3:P1002),"-")</f>
        <v>-</v>
      </c>
      <c r="E28" s="60" t="str">
        <f aca="false">IFERROR(D28/C28,"-")</f>
        <v>-</v>
      </c>
      <c r="F28" s="61" t="str">
        <f aca="false">IFERROR(SUMPRODUCT((MONTH(Operaciones!B3:B1002)=MONTH(B28))*(YEAR(Operaciones!B3:B1002)=YEAR(B28))*(Operaciones!P3:P1002&gt;0)*(Operaciones!B3:B1002&lt;&gt;""))/C28,"-")</f>
        <v>-</v>
      </c>
      <c r="G28" s="62" t="str">
        <f aca="false">IFERROR(maxifs(Operaciones!P3:P1002,Operaciones!B3:B1002,"&gt;="&amp;DATE(YEAR(B28),MONTH(B28),1),Operaciones!B3:B1002,"&lt;"&amp;DATE(YEAR(B28),MONTH(B28)+1,1)),"-")</f>
        <v>-</v>
      </c>
      <c r="H28" s="63" t="str">
        <f aca="false">IFERROR(minifs(Operaciones!P3:P1002,Operaciones!B3:B1002,"&gt;="&amp;DATE(YEAR(B28),MONTH(B28),1),Operaciones!B3:B1002,"&lt;"&amp;DATE(YEAR(B28),MONTH(B28)+1,1)),"-")</f>
        <v>-</v>
      </c>
    </row>
    <row r="29" customFormat="false" ht="19.5" hidden="false" customHeight="true" outlineLevel="0" collapsed="false">
      <c r="B29" s="64"/>
      <c r="C29" s="51" t="n">
        <f aca="false">IFERROR(SUMPRODUCT((MONTH(Operaciones!B3:B1002)=MONTH(B29))*(YEAR(Operaciones!B3:B1002)=YEAR(B29))*(Operaciones!B3:B1002&lt;&gt;"")),"-")</f>
        <v>0</v>
      </c>
      <c r="D29" s="52" t="str">
        <f aca="false">IFERROR(SUMPRODUCT((MONTH(Operaciones!B3:B1002)=MONTH(B29))*(YEAR(Operaciones!B3:B1002)=YEAR(B29))*(Operaciones!B3:B1002&lt;&gt;"")*Operaciones!P3:P1002),"-")</f>
        <v>-</v>
      </c>
      <c r="E29" s="53" t="str">
        <f aca="false">IFERROR(D29/C29,"-")</f>
        <v>-</v>
      </c>
      <c r="F29" s="54" t="str">
        <f aca="false">IFERROR(SUMPRODUCT((MONTH(Operaciones!B3:B1002)=MONTH(B29))*(YEAR(Operaciones!B3:B1002)=YEAR(B29))*(Operaciones!P3:P1002&gt;0)*(Operaciones!B3:B1002&lt;&gt;""))/C29,"-")</f>
        <v>-</v>
      </c>
      <c r="G29" s="55" t="str">
        <f aca="false">IFERROR(maxifs(Operaciones!P3:P1002,Operaciones!B3:B1002,"&gt;="&amp;DATE(YEAR(B29),MONTH(B29),1),Operaciones!B3:B1002,"&lt;"&amp;DATE(YEAR(B29),MONTH(B29)+1,1)),"-")</f>
        <v>-</v>
      </c>
      <c r="H29" s="56" t="str">
        <f aca="false">IFERROR(minifs(Operaciones!P3:P1002,Operaciones!B3:B1002,"&gt;="&amp;DATE(YEAR(B29),MONTH(B29),1),Operaciones!B3:B1002,"&lt;"&amp;DATE(YEAR(B29),MONTH(B29)+1,1)),"-")</f>
        <v>-</v>
      </c>
    </row>
    <row r="30" customFormat="false" ht="19.5" hidden="false" customHeight="true" outlineLevel="0" collapsed="false">
      <c r="B30" s="65"/>
      <c r="C30" s="58" t="n">
        <f aca="false">IFERROR(SUMPRODUCT((MONTH(Operaciones!B3:B1002)=MONTH(B30))*(YEAR(Operaciones!B3:B1002)=YEAR(B30))*(Operaciones!B3:B1002&lt;&gt;"")),"-")</f>
        <v>0</v>
      </c>
      <c r="D30" s="59" t="str">
        <f aca="false">IFERROR(SUMPRODUCT((MONTH(Operaciones!B3:B1002)=MONTH(B30))*(YEAR(Operaciones!B3:B1002)=YEAR(B30))*(Operaciones!B3:B1002&lt;&gt;"")*Operaciones!P3:P1002),"-")</f>
        <v>-</v>
      </c>
      <c r="E30" s="60" t="str">
        <f aca="false">IFERROR(D30/C30,"-")</f>
        <v>-</v>
      </c>
      <c r="F30" s="61" t="str">
        <f aca="false">IFERROR(SUMPRODUCT((MONTH(Operaciones!B3:B1002)=MONTH(B30))*(YEAR(Operaciones!B3:B1002)=YEAR(B30))*(Operaciones!P3:P1002&gt;0)*(Operaciones!B3:B1002&lt;&gt;""))/C30,"-")</f>
        <v>-</v>
      </c>
      <c r="G30" s="62" t="str">
        <f aca="false">IFERROR(maxifs(Operaciones!P3:P1002,Operaciones!B3:B1002,"&gt;="&amp;DATE(YEAR(B30),MONTH(B30),1),Operaciones!B3:B1002,"&lt;"&amp;DATE(YEAR(B30),MONTH(B30)+1,1)),"-")</f>
        <v>-</v>
      </c>
      <c r="H30" s="63" t="str">
        <f aca="false">IFERROR(minifs(Operaciones!P3:P1002,Operaciones!B3:B1002,"&gt;="&amp;DATE(YEAR(B30),MONTH(B30),1),Operaciones!B3:B1002,"&lt;"&amp;DATE(YEAR(B30),MONTH(B30)+1,1)),"-")</f>
        <v>-</v>
      </c>
    </row>
    <row r="31" customFormat="false" ht="19.5" hidden="false" customHeight="true" outlineLevel="0" collapsed="false">
      <c r="B31" s="64"/>
      <c r="C31" s="51" t="n">
        <f aca="false">IFERROR(SUMPRODUCT((MONTH(Operaciones!B3:B1002)=MONTH(B31))*(YEAR(Operaciones!B3:B1002)=YEAR(B31))*(Operaciones!B3:B1002&lt;&gt;"")),"-")</f>
        <v>0</v>
      </c>
      <c r="D31" s="52" t="str">
        <f aca="false">IFERROR(SUMPRODUCT((MONTH(Operaciones!B3:B1002)=MONTH(B31))*(YEAR(Operaciones!B3:B1002)=YEAR(B31))*(Operaciones!B3:B1002&lt;&gt;"")*Operaciones!P3:P1002),"-")</f>
        <v>-</v>
      </c>
      <c r="E31" s="53" t="str">
        <f aca="false">IFERROR(D31/C31,"-")</f>
        <v>-</v>
      </c>
      <c r="F31" s="54" t="str">
        <f aca="false">IFERROR(SUMPRODUCT((MONTH(Operaciones!B3:B1002)=MONTH(B31))*(YEAR(Operaciones!B3:B1002)=YEAR(B31))*(Operaciones!P3:P1002&gt;0)*(Operaciones!B3:B1002&lt;&gt;""))/C31,"-")</f>
        <v>-</v>
      </c>
      <c r="G31" s="55" t="str">
        <f aca="false">IFERROR(maxifs(Operaciones!P3:P1002,Operaciones!B3:B1002,"&gt;="&amp;DATE(YEAR(B31),MONTH(B31),1),Operaciones!B3:B1002,"&lt;"&amp;DATE(YEAR(B31),MONTH(B31)+1,1)),"-")</f>
        <v>-</v>
      </c>
      <c r="H31" s="56" t="str">
        <f aca="false">IFERROR(minifs(Operaciones!P3:P1002,Operaciones!B3:B1002,"&gt;="&amp;DATE(YEAR(B31),MONTH(B31),1),Operaciones!B3:B1002,"&lt;"&amp;DATE(YEAR(B31),MONTH(B31)+1,1)),"-")</f>
        <v>-</v>
      </c>
    </row>
    <row r="32" customFormat="false" ht="19.5" hidden="false" customHeight="true" outlineLevel="0" collapsed="false">
      <c r="B32" s="65"/>
      <c r="C32" s="58" t="n">
        <f aca="false">IFERROR(SUMPRODUCT((MONTH(Operaciones!B3:B1002)=MONTH(B32))*(YEAR(Operaciones!B3:B1002)=YEAR(B32))*(Operaciones!B3:B1002&lt;&gt;"")),"-")</f>
        <v>0</v>
      </c>
      <c r="D32" s="59" t="str">
        <f aca="false">IFERROR(SUMPRODUCT((MONTH(Operaciones!B3:B1002)=MONTH(B32))*(YEAR(Operaciones!B3:B1002)=YEAR(B32))*(Operaciones!B3:B1002&lt;&gt;"")*Operaciones!P3:P1002),"-")</f>
        <v>-</v>
      </c>
      <c r="E32" s="60" t="str">
        <f aca="false">IFERROR(D32/C32,"-")</f>
        <v>-</v>
      </c>
      <c r="F32" s="61" t="str">
        <f aca="false">IFERROR(SUMPRODUCT((MONTH(Operaciones!B3:B1002)=MONTH(B32))*(YEAR(Operaciones!B3:B1002)=YEAR(B32))*(Operaciones!P3:P1002&gt;0)*(Operaciones!B3:B1002&lt;&gt;""))/C32,"-")</f>
        <v>-</v>
      </c>
      <c r="G32" s="62" t="str">
        <f aca="false">IFERROR(maxifs(Operaciones!P3:P1002,Operaciones!B3:B1002,"&gt;="&amp;DATE(YEAR(B32),MONTH(B32),1),Operaciones!B3:B1002,"&lt;"&amp;DATE(YEAR(B32),MONTH(B32)+1,1)),"-")</f>
        <v>-</v>
      </c>
      <c r="H32" s="63" t="str">
        <f aca="false">IFERROR(minifs(Operaciones!P3:P1002,Operaciones!B3:B1002,"&gt;="&amp;DATE(YEAR(B32),MONTH(B32),1),Operaciones!B3:B1002,"&lt;"&amp;DATE(YEAR(B32),MONTH(B32)+1,1)),"-")</f>
        <v>-</v>
      </c>
    </row>
    <row r="33" customFormat="false" ht="19.5" hidden="false" customHeight="true" outlineLevel="0" collapsed="false">
      <c r="B33" s="64"/>
      <c r="C33" s="51" t="n">
        <f aca="false">IFERROR(SUMPRODUCT((MONTH(Operaciones!B3:B1002)=MONTH(B33))*(YEAR(Operaciones!B3:B1002)=YEAR(B33))*(Operaciones!B3:B1002&lt;&gt;"")),"-")</f>
        <v>0</v>
      </c>
      <c r="D33" s="52" t="str">
        <f aca="false">IFERROR(SUMPRODUCT((MONTH(Operaciones!B3:B1002)=MONTH(B33))*(YEAR(Operaciones!B3:B1002)=YEAR(B33))*(Operaciones!B3:B1002&lt;&gt;"")*Operaciones!P3:P1002),"-")</f>
        <v>-</v>
      </c>
      <c r="E33" s="53" t="str">
        <f aca="false">IFERROR(D33/C33,"-")</f>
        <v>-</v>
      </c>
      <c r="F33" s="54" t="str">
        <f aca="false">IFERROR(SUMPRODUCT((MONTH(Operaciones!B3:B1002)=MONTH(B33))*(YEAR(Operaciones!B3:B1002)=YEAR(B33))*(Operaciones!P3:P1002&gt;0)*(Operaciones!B3:B1002&lt;&gt;""))/C33,"-")</f>
        <v>-</v>
      </c>
      <c r="G33" s="55" t="str">
        <f aca="false">IFERROR(maxifs(Operaciones!P3:P1002,Operaciones!B3:B1002,"&gt;="&amp;DATE(YEAR(B33),MONTH(B33),1),Operaciones!B3:B1002,"&lt;"&amp;DATE(YEAR(B33),MONTH(B33)+1,1)),"-")</f>
        <v>-</v>
      </c>
      <c r="H33" s="56" t="str">
        <f aca="false">IFERROR(minifs(Operaciones!P3:P1002,Operaciones!B3:B1002,"&gt;="&amp;DATE(YEAR(B33),MONTH(B33),1),Operaciones!B3:B1002,"&lt;"&amp;DATE(YEAR(B33),MONTH(B33)+1,1)),"-")</f>
        <v>-</v>
      </c>
    </row>
    <row r="34" customFormat="false" ht="19.5" hidden="false" customHeight="true" outlineLevel="0" collapsed="false">
      <c r="B34" s="65"/>
      <c r="C34" s="58" t="n">
        <f aca="false">IFERROR(SUMPRODUCT((MONTH(Operaciones!B3:B1002)=MONTH(B34))*(YEAR(Operaciones!B3:B1002)=YEAR(B34))*(Operaciones!B3:B1002&lt;&gt;"")),"-")</f>
        <v>0</v>
      </c>
      <c r="D34" s="59" t="str">
        <f aca="false">IFERROR(SUMPRODUCT((MONTH(Operaciones!B3:B1002)=MONTH(B34))*(YEAR(Operaciones!B3:B1002)=YEAR(B34))*(Operaciones!B3:B1002&lt;&gt;"")*Operaciones!P3:P1002),"-")</f>
        <v>-</v>
      </c>
      <c r="E34" s="60" t="str">
        <f aca="false">IFERROR(D34/C34,"-")</f>
        <v>-</v>
      </c>
      <c r="F34" s="61" t="str">
        <f aca="false">IFERROR(SUMPRODUCT((MONTH(Operaciones!B3:B1002)=MONTH(B34))*(YEAR(Operaciones!B3:B1002)=YEAR(B34))*(Operaciones!P3:P1002&gt;0)*(Operaciones!B3:B1002&lt;&gt;""))/C34,"-")</f>
        <v>-</v>
      </c>
      <c r="G34" s="62" t="str">
        <f aca="false">IFERROR(maxifs(Operaciones!P3:P1002,Operaciones!B3:B1002,"&gt;="&amp;DATE(YEAR(B34),MONTH(B34),1),Operaciones!B3:B1002,"&lt;"&amp;DATE(YEAR(B34),MONTH(B34)+1,1)),"-")</f>
        <v>-</v>
      </c>
      <c r="H34" s="63" t="str">
        <f aca="false">IFERROR(minifs(Operaciones!P3:P1002,Operaciones!B3:B1002,"&gt;="&amp;DATE(YEAR(B34),MONTH(B34),1),Operaciones!B3:B1002,"&lt;"&amp;DATE(YEAR(B34),MONTH(B34)+1,1)),"-")</f>
        <v>-</v>
      </c>
    </row>
    <row r="35" customFormat="false" ht="19.5" hidden="false" customHeight="true" outlineLevel="0" collapsed="false">
      <c r="B35" s="64"/>
      <c r="C35" s="51" t="n">
        <f aca="false">IFERROR(SUMPRODUCT((MONTH(Operaciones!B3:B1002)=MONTH(B35))*(YEAR(Operaciones!B3:B1002)=YEAR(B35))*(Operaciones!B3:B1002&lt;&gt;"")),"-")</f>
        <v>0</v>
      </c>
      <c r="D35" s="52" t="str">
        <f aca="false">IFERROR(SUMPRODUCT((MONTH(Operaciones!B3:B1002)=MONTH(B35))*(YEAR(Operaciones!B3:B1002)=YEAR(B35))*(Operaciones!B3:B1002&lt;&gt;"")*Operaciones!P3:P1002),"-")</f>
        <v>-</v>
      </c>
      <c r="E35" s="53" t="str">
        <f aca="false">IFERROR(D35/C35,"-")</f>
        <v>-</v>
      </c>
      <c r="F35" s="54" t="str">
        <f aca="false">IFERROR(SUMPRODUCT((MONTH(Operaciones!B3:B1002)=MONTH(B35))*(YEAR(Operaciones!B3:B1002)=YEAR(B35))*(Operaciones!P3:P1002&gt;0)*(Operaciones!B3:B1002&lt;&gt;""))/C35,"-")</f>
        <v>-</v>
      </c>
      <c r="G35" s="55" t="str">
        <f aca="false">IFERROR(maxifs(Operaciones!P3:P1002,Operaciones!B3:B1002,"&gt;="&amp;DATE(YEAR(B35),MONTH(B35),1),Operaciones!B3:B1002,"&lt;"&amp;DATE(YEAR(B35),MONTH(B35)+1,1)),"-")</f>
        <v>-</v>
      </c>
      <c r="H35" s="56" t="str">
        <f aca="false">IFERROR(minifs(Operaciones!P3:P1002,Operaciones!B3:B1002,"&gt;="&amp;DATE(YEAR(B35),MONTH(B35),1),Operaciones!B3:B1002,"&lt;"&amp;DATE(YEAR(B35),MONTH(B35)+1,1)),"-")</f>
        <v>-</v>
      </c>
    </row>
    <row r="36" customFormat="false" ht="19.5" hidden="false" customHeight="true" outlineLevel="0" collapsed="false">
      <c r="B36" s="65"/>
      <c r="C36" s="58" t="n">
        <f aca="false">IFERROR(SUMPRODUCT((MONTH(Operaciones!B3:B1002)=MONTH(B36))*(YEAR(Operaciones!B3:B1002)=YEAR(B36))*(Operaciones!B3:B1002&lt;&gt;"")),"-")</f>
        <v>0</v>
      </c>
      <c r="D36" s="59" t="str">
        <f aca="false">IFERROR(SUMPRODUCT((MONTH(Operaciones!B3:B1002)=MONTH(B36))*(YEAR(Operaciones!B3:B1002)=YEAR(B36))*(Operaciones!B3:B1002&lt;&gt;"")*Operaciones!P3:P1002),"-")</f>
        <v>-</v>
      </c>
      <c r="E36" s="60" t="str">
        <f aca="false">IFERROR(D36/C36,"-")</f>
        <v>-</v>
      </c>
      <c r="F36" s="61" t="str">
        <f aca="false">IFERROR(SUMPRODUCT((MONTH(Operaciones!B3:B1002)=MONTH(B36))*(YEAR(Operaciones!B3:B1002)=YEAR(B36))*(Operaciones!P3:P1002&gt;0)*(Operaciones!B3:B1002&lt;&gt;""))/C36,"-")</f>
        <v>-</v>
      </c>
      <c r="G36" s="62" t="str">
        <f aca="false">IFERROR(maxifs(Operaciones!P3:P1002,Operaciones!B3:B1002,"&gt;="&amp;DATE(YEAR(B36),MONTH(B36),1),Operaciones!B3:B1002,"&lt;"&amp;DATE(YEAR(B36),MONTH(B36)+1,1)),"-")</f>
        <v>-</v>
      </c>
      <c r="H36" s="63" t="str">
        <f aca="false">IFERROR(minifs(Operaciones!P3:P1002,Operaciones!B3:B1002,"&gt;="&amp;DATE(YEAR(B36),MONTH(B36),1),Operaciones!B3:B1002,"&lt;"&amp;DATE(YEAR(B36),MONTH(B36)+1,1)),"-")</f>
        <v>-</v>
      </c>
    </row>
    <row r="37" customFormat="false" ht="19.5" hidden="false" customHeight="true" outlineLevel="0" collapsed="false">
      <c r="B37" s="64"/>
      <c r="C37" s="51" t="n">
        <f aca="false">IFERROR(SUMPRODUCT((MONTH(Operaciones!B3:B1002)=MONTH(B37))*(YEAR(Operaciones!B3:B1002)=YEAR(B37))*(Operaciones!B3:B1002&lt;&gt;"")),"-")</f>
        <v>0</v>
      </c>
      <c r="D37" s="52" t="str">
        <f aca="false">IFERROR(SUMPRODUCT((MONTH(Operaciones!B3:B1002)=MONTH(B37))*(YEAR(Operaciones!B3:B1002)=YEAR(B37))*(Operaciones!B3:B1002&lt;&gt;"")*Operaciones!P3:P1002),"-")</f>
        <v>-</v>
      </c>
      <c r="E37" s="53" t="str">
        <f aca="false">IFERROR(D37/C37,"-")</f>
        <v>-</v>
      </c>
      <c r="F37" s="54" t="str">
        <f aca="false">IFERROR(SUMPRODUCT((MONTH(Operaciones!B3:B1002)=MONTH(B37))*(YEAR(Operaciones!B3:B1002)=YEAR(B37))*(Operaciones!P3:P1002&gt;0)*(Operaciones!B3:B1002&lt;&gt;""))/C37,"-")</f>
        <v>-</v>
      </c>
      <c r="G37" s="55" t="str">
        <f aca="false">IFERROR(maxifs(Operaciones!P3:P1002,Operaciones!B3:B1002,"&gt;="&amp;DATE(YEAR(B37),MONTH(B37),1),Operaciones!B3:B1002,"&lt;"&amp;DATE(YEAR(B37),MONTH(B37)+1,1)),"-")</f>
        <v>-</v>
      </c>
      <c r="H37" s="56" t="str">
        <f aca="false">IFERROR(minifs(Operaciones!P3:P1002,Operaciones!B3:B1002,"&gt;="&amp;DATE(YEAR(B37),MONTH(B37),1),Operaciones!B3:B1002,"&lt;"&amp;DATE(YEAR(B37),MONTH(B37)+1,1)),"-")</f>
        <v>-</v>
      </c>
    </row>
    <row r="38" customFormat="false" ht="19.5" hidden="false" customHeight="true" outlineLevel="0" collapsed="false">
      <c r="B38" s="65"/>
      <c r="C38" s="58" t="n">
        <f aca="false">IFERROR(SUMPRODUCT((MONTH(Operaciones!B3:B1002)=MONTH(B38))*(YEAR(Operaciones!B3:B1002)=YEAR(B38))*(Operaciones!B3:B1002&lt;&gt;"")),"-")</f>
        <v>0</v>
      </c>
      <c r="D38" s="59" t="str">
        <f aca="false">IFERROR(SUMPRODUCT((MONTH(Operaciones!B3:B1002)=MONTH(B38))*(YEAR(Operaciones!B3:B1002)=YEAR(B38))*(Operaciones!B3:B1002&lt;&gt;"")*Operaciones!P3:P1002),"-")</f>
        <v>-</v>
      </c>
      <c r="E38" s="60" t="str">
        <f aca="false">IFERROR(D38/C38,"-")</f>
        <v>-</v>
      </c>
      <c r="F38" s="61" t="str">
        <f aca="false">IFERROR(SUMPRODUCT((MONTH(Operaciones!B3:B1002)=MONTH(B38))*(YEAR(Operaciones!B3:B1002)=YEAR(B38))*(Operaciones!P3:P1002&gt;0)*(Operaciones!B3:B1002&lt;&gt;""))/C38,"-")</f>
        <v>-</v>
      </c>
      <c r="G38" s="62" t="str">
        <f aca="false">IFERROR(maxifs(Operaciones!P3:P1002,Operaciones!B3:B1002,"&gt;="&amp;DATE(YEAR(B38),MONTH(B38),1),Operaciones!B3:B1002,"&lt;"&amp;DATE(YEAR(B38),MONTH(B38)+1,1)),"-")</f>
        <v>-</v>
      </c>
      <c r="H38" s="63" t="str">
        <f aca="false">IFERROR(minifs(Operaciones!P3:P1002,Operaciones!B3:B1002,"&gt;="&amp;DATE(YEAR(B38),MONTH(B38),1),Operaciones!B3:B1002,"&lt;"&amp;DATE(YEAR(B38),MONTH(B38)+1,1)),"-")</f>
        <v>-</v>
      </c>
    </row>
  </sheetData>
  <mergeCells count="4">
    <mergeCell ref="A1:L1"/>
    <mergeCell ref="B3:H3"/>
    <mergeCell ref="B19:H19"/>
    <mergeCell ref="B25:H25"/>
  </mergeCells>
  <conditionalFormatting sqref="D5:D1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D27:D38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30"/>
  </cols>
  <sheetData>
    <row r="1" customFormat="false" ht="43.5" hidden="false" customHeight="true" outlineLevel="0" collapsed="false">
      <c r="A1" s="1" t="s">
        <v>66</v>
      </c>
      <c r="B1" s="1"/>
      <c r="C1" s="1"/>
    </row>
    <row r="3" customFormat="false" ht="21.75" hidden="false" customHeight="true" outlineLevel="0" collapsed="false">
      <c r="B3" s="32" t="s">
        <v>67</v>
      </c>
      <c r="C3" s="32"/>
    </row>
    <row r="4" customFormat="false" ht="21.75" hidden="false" customHeight="true" outlineLevel="0" collapsed="false">
      <c r="B4" s="66" t="s">
        <v>68</v>
      </c>
      <c r="C4" s="66"/>
    </row>
    <row r="5" customFormat="false" ht="21.75" hidden="false" customHeight="true" outlineLevel="0" collapsed="false">
      <c r="B5" s="67" t="s">
        <v>69</v>
      </c>
      <c r="C5" s="67"/>
    </row>
    <row r="6" customFormat="false" ht="21.75" hidden="false" customHeight="true" outlineLevel="0" collapsed="false">
      <c r="B6" s="66" t="s">
        <v>70</v>
      </c>
      <c r="C6" s="66"/>
    </row>
    <row r="7" customFormat="false" ht="21.75" hidden="false" customHeight="true" outlineLevel="0" collapsed="false">
      <c r="B7" s="67" t="s">
        <v>71</v>
      </c>
      <c r="C7" s="67"/>
    </row>
    <row r="8" customFormat="false" ht="21.75" hidden="false" customHeight="true" outlineLevel="0" collapsed="false">
      <c r="B8" s="66" t="s">
        <v>72</v>
      </c>
      <c r="C8" s="66"/>
    </row>
    <row r="9" customFormat="false" ht="21.75" hidden="false" customHeight="true" outlineLevel="0" collapsed="false">
      <c r="B9" s="68"/>
      <c r="C9" s="68"/>
    </row>
    <row r="10" customFormat="false" ht="21.75" hidden="false" customHeight="true" outlineLevel="0" collapsed="false">
      <c r="B10" s="32" t="s">
        <v>73</v>
      </c>
      <c r="C10" s="32"/>
    </row>
    <row r="11" customFormat="false" ht="21.75" hidden="false" customHeight="true" outlineLevel="0" collapsed="false">
      <c r="B11" s="66" t="s">
        <v>74</v>
      </c>
      <c r="C11" s="66"/>
    </row>
    <row r="12" customFormat="false" ht="21.75" hidden="false" customHeight="true" outlineLevel="0" collapsed="false">
      <c r="B12" s="67" t="s">
        <v>75</v>
      </c>
      <c r="C12" s="67"/>
    </row>
    <row r="13" customFormat="false" ht="21.75" hidden="false" customHeight="true" outlineLevel="0" collapsed="false">
      <c r="B13" s="66" t="s">
        <v>76</v>
      </c>
      <c r="C13" s="66"/>
    </row>
    <row r="14" customFormat="false" ht="21.75" hidden="false" customHeight="true" outlineLevel="0" collapsed="false">
      <c r="B14" s="67" t="s">
        <v>77</v>
      </c>
      <c r="C14" s="67"/>
    </row>
    <row r="15" customFormat="false" ht="21.75" hidden="false" customHeight="true" outlineLevel="0" collapsed="false">
      <c r="B15" s="66" t="s">
        <v>78</v>
      </c>
      <c r="C15" s="66"/>
    </row>
    <row r="16" customFormat="false" ht="21.75" hidden="false" customHeight="true" outlineLevel="0" collapsed="false">
      <c r="B16" s="67" t="s">
        <v>79</v>
      </c>
      <c r="C16" s="67"/>
    </row>
    <row r="17" customFormat="false" ht="21.75" hidden="false" customHeight="true" outlineLevel="0" collapsed="false">
      <c r="B17" s="66" t="s">
        <v>80</v>
      </c>
      <c r="C17" s="66"/>
    </row>
    <row r="18" customFormat="false" ht="21.75" hidden="false" customHeight="true" outlineLevel="0" collapsed="false">
      <c r="B18" s="67" t="s">
        <v>81</v>
      </c>
      <c r="C18" s="67"/>
    </row>
    <row r="19" customFormat="false" ht="21.75" hidden="false" customHeight="true" outlineLevel="0" collapsed="false">
      <c r="B19" s="66" t="s">
        <v>82</v>
      </c>
      <c r="C19" s="66"/>
    </row>
    <row r="20" customFormat="false" ht="21.75" hidden="false" customHeight="true" outlineLevel="0" collapsed="false">
      <c r="B20" s="67" t="s">
        <v>83</v>
      </c>
      <c r="C20" s="67"/>
    </row>
    <row r="21" customFormat="false" ht="21.75" hidden="false" customHeight="true" outlineLevel="0" collapsed="false">
      <c r="B21" s="66" t="s">
        <v>84</v>
      </c>
      <c r="C21" s="66"/>
    </row>
    <row r="22" customFormat="false" ht="21.75" hidden="false" customHeight="true" outlineLevel="0" collapsed="false">
      <c r="B22" s="67" t="s">
        <v>85</v>
      </c>
      <c r="C22" s="67"/>
    </row>
    <row r="23" customFormat="false" ht="21.75" hidden="false" customHeight="true" outlineLevel="0" collapsed="false">
      <c r="B23" s="68"/>
      <c r="C23" s="68"/>
    </row>
    <row r="24" customFormat="false" ht="21.75" hidden="false" customHeight="true" outlineLevel="0" collapsed="false">
      <c r="B24" s="32" t="s">
        <v>86</v>
      </c>
      <c r="C24" s="32"/>
    </row>
    <row r="25" customFormat="false" ht="21.75" hidden="false" customHeight="true" outlineLevel="0" collapsed="false">
      <c r="B25" s="69" t="s">
        <v>87</v>
      </c>
      <c r="C25" s="69"/>
    </row>
    <row r="26" customFormat="false" ht="21.75" hidden="false" customHeight="true" outlineLevel="0" collapsed="false">
      <c r="B26" s="70" t="s">
        <v>88</v>
      </c>
      <c r="C26" s="70"/>
    </row>
    <row r="27" customFormat="false" ht="21.75" hidden="false" customHeight="true" outlineLevel="0" collapsed="false">
      <c r="B27" s="71" t="s">
        <v>89</v>
      </c>
      <c r="C27" s="71"/>
    </row>
    <row r="28" customFormat="false" ht="21.75" hidden="false" customHeight="true" outlineLevel="0" collapsed="false">
      <c r="B28" s="72" t="s">
        <v>90</v>
      </c>
      <c r="C28" s="72"/>
    </row>
    <row r="29" customFormat="false" ht="21.75" hidden="false" customHeight="true" outlineLevel="0" collapsed="false">
      <c r="B29" s="73" t="s">
        <v>91</v>
      </c>
      <c r="C29" s="73"/>
    </row>
    <row r="30" customFormat="false" ht="21.75" hidden="false" customHeight="true" outlineLevel="0" collapsed="false">
      <c r="B30" s="74" t="s">
        <v>92</v>
      </c>
      <c r="C30" s="74"/>
    </row>
  </sheetData>
  <mergeCells count="29">
    <mergeCell ref="A1:C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2026-03-10T17:59:45Z</dcterms:created>
  <dc:creator>openpyxl</dc:creator>
  <dc:description/>
  <dc:language>en-US</dc:language>
  <cp:lastModifiedBy/>
  <dcterms:modified xsi:type="dcterms:W3CDTF">2026-03-10T17:59:48Z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