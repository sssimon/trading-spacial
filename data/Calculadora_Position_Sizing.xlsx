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\Documents\Trading\"/>
    </mc:Choice>
  </mc:AlternateContent>
  <xr:revisionPtr revIDLastSave="0" documentId="13_ncr:1_{DC1BD37C-0B16-45B0-9C2B-16193728696E}" xr6:coauthVersionLast="47" xr6:coauthVersionMax="47" xr10:uidLastSave="{00000000-0000-0000-0000-000000000000}"/>
  <bookViews>
    <workbookView xWindow="0" yWindow="360" windowWidth="23256" windowHeight="12456" tabRatio="500" firstSheet="3" activeTab="3" xr2:uid="{00000000-000D-0000-FFFF-FFFF00000000}"/>
  </bookViews>
  <sheets>
    <sheet name="📐 Calculadora" sheetId="1" r:id="rId1"/>
    <sheet name="📊 Análisis Operativa" sheetId="2" r:id="rId2"/>
    <sheet name="🔬 Escenarios" sheetId="3" r:id="rId3"/>
    <sheet name="Hoja1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1" l="1"/>
  <c r="C32" i="1"/>
  <c r="C31" i="1"/>
  <c r="C30" i="1"/>
  <c r="C25" i="1"/>
  <c r="C22" i="1"/>
  <c r="C21" i="1"/>
  <c r="C20" i="1"/>
  <c r="C17" i="1"/>
  <c r="C18" i="1" s="1"/>
  <c r="C16" i="1"/>
  <c r="C23" i="1" l="1"/>
  <c r="C24" i="1" s="1"/>
  <c r="C19" i="1"/>
  <c r="C26" i="1" l="1"/>
  <c r="C27" i="1"/>
</calcChain>
</file>

<file path=xl/sharedStrings.xml><?xml version="1.0" encoding="utf-8"?>
<sst xmlns="http://schemas.openxmlformats.org/spreadsheetml/2006/main" count="236" uniqueCount="138">
  <si>
    <t>CALCULADORA DE POSITION SIZING  |  Futuros &amp; Gestión de Riesgo</t>
  </si>
  <si>
    <t>▌  PARÁMETROS DE CUENTA</t>
  </si>
  <si>
    <t>Capital Total ($)</t>
  </si>
  <si>
    <t>USD — Capital disponible para trading</t>
  </si>
  <si>
    <t>Riesgo Máximo por Trade (%)</t>
  </si>
  <si>
    <t>% del capital que estás dispuesto a perder</t>
  </si>
  <si>
    <t>Stop Loss (%)</t>
  </si>
  <si>
    <t>Distancia del stop desde el precio de entrada</t>
  </si>
  <si>
    <t>Apalancamiento Máximo (x)</t>
  </si>
  <si>
    <t>Apalancamiento aplicado a la posición</t>
  </si>
  <si>
    <t>Comisión por lado (%)</t>
  </si>
  <si>
    <t>Tasa de comisión del exchange (taker/maker)</t>
  </si>
  <si>
    <t>▌  PRECIO DEL ACTIVO (ingresa antes de cada operación)</t>
  </si>
  <si>
    <t>Activo</t>
  </si>
  <si>
    <t>BTC</t>
  </si>
  <si>
    <t>Nombre del activo (ej. BTC, ETH, XRP)</t>
  </si>
  <si>
    <t>Precio de Entrada ($)</t>
  </si>
  <si>
    <t>Precio al que entrarías</t>
  </si>
  <si>
    <t>▌  RESULTADOS CALCULADOS</t>
  </si>
  <si>
    <t>Pérdida Máxima ($)</t>
  </si>
  <si>
    <t>Máximo que puedes perder en esta operación</t>
  </si>
  <si>
    <t>Margen a Depositar ($)</t>
  </si>
  <si>
    <t>Capital que depositas como margen</t>
  </si>
  <si>
    <t>Exposición Nocional ($)</t>
  </si>
  <si>
    <t>Valor real de la posición en el mercado</t>
  </si>
  <si>
    <t>Cantidad de Monedas</t>
  </si>
  <si>
    <t>Unidades del activo a comprar/vender</t>
  </si>
  <si>
    <t>Stop Loss ($)</t>
  </si>
  <si>
    <t>Precio de stop para posición Long</t>
  </si>
  <si>
    <t>Take Profit (1:2) ($)</t>
  </si>
  <si>
    <t>Precio objetivo mínimo (ratio R:R 1:2)</t>
  </si>
  <si>
    <t>Take Profit (1:3) ($)</t>
  </si>
  <si>
    <t>Precio objetivo óptimo (ratio R:R 1:3)</t>
  </si>
  <si>
    <t>Comisión Total Est. ($)</t>
  </si>
  <si>
    <t>Comisión entrada + salida</t>
  </si>
  <si>
    <t>% Comisión / Margen</t>
  </si>
  <si>
    <t>Impacto real de comisiones sobre el margen</t>
  </si>
  <si>
    <t>Breakeven Move Necesario</t>
  </si>
  <si>
    <t>Movimiento mínimo para cubrir comisiones</t>
  </si>
  <si>
    <t>PnL Neto si TP (1:2) ($)</t>
  </si>
  <si>
    <t>Ganancia neta si alcanza el objetivo 1:2</t>
  </si>
  <si>
    <t>PnL Neto si TP (1:3) ($)</t>
  </si>
  <si>
    <t>Ganancia neta si alcanza el objetivo 1:3</t>
  </si>
  <si>
    <t>▌  SEMÁFORO DE CONFIGURACIÓN</t>
  </si>
  <si>
    <t>Apalancamiento</t>
  </si>
  <si>
    <t>% Comisión/Margen</t>
  </si>
  <si>
    <t>R:R mínimo</t>
  </si>
  <si>
    <t>Capital en riesgo</t>
  </si>
  <si>
    <t>LEYENDA:   🔵 Celda azul = Input (modifica aquí)   |   ⚫ Celda negra = Fórmula automática   |   🟡 Celda amarilla = Alerta</t>
  </si>
  <si>
    <t>ANÁLISIS DE OPERATIVA  |  Spot &amp; Futures  |  11–16 Mar 2026</t>
  </si>
  <si>
    <t>▌  RESUMEN GLOBAL</t>
  </si>
  <si>
    <t>MÉTRICA</t>
  </si>
  <si>
    <t>FUTUROS</t>
  </si>
  <si>
    <t>SPOT</t>
  </si>
  <si>
    <t>TOTAL</t>
  </si>
  <si>
    <t>Total Operaciones</t>
  </si>
  <si>
    <t>Ganadoras</t>
  </si>
  <si>
    <t>Perdedoras</t>
  </si>
  <si>
    <t>Win Rate (%)</t>
  </si>
  <si>
    <t>PnL Bruto ($)</t>
  </si>
  <si>
    <t>PnL Neto ($)</t>
  </si>
  <si>
    <t>Ganancia Media ($)</t>
  </si>
  <si>
    <t>Pérdida Media ($)</t>
  </si>
  <si>
    <t>Ratio G/P</t>
  </si>
  <si>
    <t>Comisiones Pagadas ($)</t>
  </si>
  <si>
    <t>▌  REGISTRO DETALLADO DE OPERACIONES</t>
  </si>
  <si>
    <t>#</t>
  </si>
  <si>
    <t>F.Entrada</t>
  </si>
  <si>
    <t>F.Cierre</t>
  </si>
  <si>
    <t>Tipo</t>
  </si>
  <si>
    <t>Dir</t>
  </si>
  <si>
    <t>Apal.</t>
  </si>
  <si>
    <t>P.Entrada($)</t>
  </si>
  <si>
    <t>P.Cierre($)</t>
  </si>
  <si>
    <t>Capital($)</t>
  </si>
  <si>
    <t>Comisión($)</t>
  </si>
  <si>
    <t>PnL Bruto($)</t>
  </si>
  <si>
    <t>PnL Neto($)</t>
  </si>
  <si>
    <t>PnL(%)</t>
  </si>
  <si>
    <t>Estado</t>
  </si>
  <si>
    <t>11/03</t>
  </si>
  <si>
    <t>Futures</t>
  </si>
  <si>
    <t>XRP</t>
  </si>
  <si>
    <t>Long</t>
  </si>
  <si>
    <t>63x</t>
  </si>
  <si>
    <t>ETH</t>
  </si>
  <si>
    <t>Short</t>
  </si>
  <si>
    <t>12/03</t>
  </si>
  <si>
    <t>62x</t>
  </si>
  <si>
    <t>13/03</t>
  </si>
  <si>
    <t>15/03</t>
  </si>
  <si>
    <t>SOL</t>
  </si>
  <si>
    <t>50x</t>
  </si>
  <si>
    <t>BNB</t>
  </si>
  <si>
    <t>15x</t>
  </si>
  <si>
    <t>16/03</t>
  </si>
  <si>
    <t>Spot</t>
  </si>
  <si>
    <t>1x</t>
  </si>
  <si>
    <t>ZEC</t>
  </si>
  <si>
    <t>▌  PERFORMANCE POR ACTIVO</t>
  </si>
  <si>
    <t># Trades</t>
  </si>
  <si>
    <t>% Acierto</t>
  </si>
  <si>
    <t>Observación</t>
  </si>
  <si>
    <t>BTC (Futures)</t>
  </si>
  <si>
    <t>Win rate bajo. 4 Longs en un día = averaging.</t>
  </si>
  <si>
    <t>XRP (Futures)</t>
  </si>
  <si>
    <t>Mejor activo en futuros. Continuar con cautela.</t>
  </si>
  <si>
    <t>ETH (Futures)</t>
  </si>
  <si>
    <t>Muestra insuficiente. Evitar por ahora.</t>
  </si>
  <si>
    <t>SOL (Futures)</t>
  </si>
  <si>
    <t>Muestra insuficiente.</t>
  </si>
  <si>
    <t>BNB (Futures)</t>
  </si>
  <si>
    <t>BTC (Spot)</t>
  </si>
  <si>
    <t>⭐ Tu mejor operación. Mantener esta lógica.</t>
  </si>
  <si>
    <t>ZEC (Spot)</t>
  </si>
  <si>
    <t>Buena operación. Continuar con Spot.</t>
  </si>
  <si>
    <t>SIMULADOR DE ESCENARIOS  |  Comparativa de Configuraciones</t>
  </si>
  <si>
    <t>PARÁMETRO</t>
  </si>
  <si>
    <t>🔴 ACTUAL
(62-63x)</t>
  </si>
  <si>
    <t>🟡 CONSERVADOR
(10x / 1%)</t>
  </si>
  <si>
    <t>🟢 MODERADO
(10x / 1.5%)</t>
  </si>
  <si>
    <t>⭐ OBJETIVO
(10x / 2%)</t>
  </si>
  <si>
    <t>Riesgo por Trade (%)</t>
  </si>
  <si>
    <t>Margen Depositado ($)</t>
  </si>
  <si>
    <t>Comisión Est. ($)</t>
  </si>
  <si>
    <t>% Com/Margen</t>
  </si>
  <si>
    <t>TP 1:2 Ganancia Neta ($)</t>
  </si>
  <si>
    <t>Liquidación a (%move)</t>
  </si>
  <si>
    <t>Trades para perder 10%</t>
  </si>
  <si>
    <t>Win Rate para BE (1:2 R)</t>
  </si>
  <si>
    <t>▌  RECOMENDACIONES CLAVE</t>
  </si>
  <si>
    <t>1. Reduce apalancamiento a 10x máximo. Aunque el margen sea mayor, el riesgo de liquidación se aleja 6x.</t>
  </si>
  <si>
    <t>2. Usa la fórmula: Margen = (Capital × Riesgo%) ÷ Stop%. Nunca al revés.</t>
  </si>
  <si>
    <t>3. Fija stop-loss ANTES de entrar. Sin stop, el 100% del margen está en riesgo.</t>
  </si>
  <si>
    <t>4. Objetivo mínimo: ratio Riesgo:Beneficio de 1:2 en cada operación.</t>
  </si>
  <si>
    <t>5. Máximo 3 operaciones por activo y día. Más de eso suele ser revenge trading.</t>
  </si>
  <si>
    <t>6. Tu operativa Spot fue 100% efectiva → replica esa paciencia en Futuros.</t>
  </si>
  <si>
    <t>bnb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</si>
</sst>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#,##0.00000"/>
    <numFmt numFmtId="166" formatCode="0.0%"/>
    <numFmt numFmtId="167" formatCode="\$#,##0.00;&quot;($&quot;#,##0.00\);\-"/>
    <numFmt numFmtId="168" formatCode="0.00%;\(0.00%\);\-"/>
    <numFmt numFmtId="169" formatCode="0\x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C3E50"/>
      <name val="Arial"/>
      <charset val="1"/>
    </font>
    <font>
      <b/>
      <sz val="11"/>
      <color rgb="FF0000FF"/>
      <name val="Arial"/>
      <charset val="1"/>
    </font>
    <font>
      <i/>
      <sz val="10"/>
      <color rgb="FF7F8C8D"/>
      <name val="Arial"/>
      <charset val="1"/>
    </font>
    <font>
      <b/>
      <sz val="10"/>
      <color rgb="FF1A1A2E"/>
      <name val="Arial"/>
      <charset val="1"/>
    </font>
    <font>
      <b/>
      <sz val="11"/>
      <color rgb="FF000000"/>
      <name val="Arial"/>
      <charset val="1"/>
    </font>
    <font>
      <i/>
      <sz val="9"/>
      <color rgb="FF7F8C8D"/>
      <name val="Arial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1A1A2E"/>
      <name val="Arial"/>
      <charset val="1"/>
    </font>
    <font>
      <b/>
      <sz val="11"/>
      <color rgb="FF27AE60"/>
      <name val="Arial"/>
      <charset val="1"/>
    </font>
    <font>
      <b/>
      <sz val="11"/>
      <color rgb="FFC0392B"/>
      <name val="Arial"/>
      <charset val="1"/>
    </font>
    <font>
      <b/>
      <sz val="9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27AE60"/>
      <name val="Arial"/>
      <charset val="1"/>
    </font>
    <font>
      <b/>
      <sz val="9"/>
      <color rgb="FFC0392B"/>
      <name val="Arial"/>
      <charset val="1"/>
    </font>
    <font>
      <sz val="10"/>
      <color rgb="FF1A1A2E"/>
      <name val="Arial"/>
      <charset val="1"/>
    </font>
    <font>
      <b/>
      <sz val="10"/>
      <color rgb="FFF39C12"/>
      <name val="Arial"/>
      <charset val="1"/>
    </font>
    <font>
      <b/>
      <sz val="10"/>
      <color rgb="FFC0392B"/>
      <name val="Arial"/>
      <charset val="1"/>
    </font>
    <font>
      <b/>
      <sz val="10"/>
      <color rgb="FF27AE6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54360"/>
      </patternFill>
    </fill>
    <fill>
      <patternFill patternType="solid">
        <fgColor rgb="FFEAF2FF"/>
        <bgColor rgb="FFEBF5FB"/>
      </patternFill>
    </fill>
    <fill>
      <patternFill patternType="solid">
        <fgColor rgb="FFEBF5FB"/>
        <bgColor rgb="FFEAF2FF"/>
      </patternFill>
    </fill>
    <fill>
      <patternFill patternType="solid">
        <fgColor rgb="FFFAFAFA"/>
        <bgColor rgb="FFF8F9FA"/>
      </patternFill>
    </fill>
    <fill>
      <patternFill patternType="solid">
        <fgColor rgb="FF0A6640"/>
        <bgColor rgb="FF1E8449"/>
      </patternFill>
    </fill>
    <fill>
      <patternFill patternType="solid">
        <fgColor rgb="FFE8F5E9"/>
        <bgColor rgb="FFE8F8F5"/>
      </patternFill>
    </fill>
    <fill>
      <patternFill patternType="solid">
        <fgColor rgb="FFFFFFFF"/>
        <bgColor rgb="FFFAFAFA"/>
      </patternFill>
    </fill>
    <fill>
      <patternFill patternType="solid">
        <fgColor rgb="FFFFF9C4"/>
        <bgColor rgb="FFFFEBEE"/>
      </patternFill>
    </fill>
    <fill>
      <patternFill patternType="solid">
        <fgColor rgb="FFF0F0F0"/>
        <bgColor rgb="FFEBF5FB"/>
      </patternFill>
    </fill>
    <fill>
      <patternFill patternType="solid">
        <fgColor rgb="FF2C3E50"/>
        <bgColor rgb="FF154360"/>
      </patternFill>
    </fill>
    <fill>
      <patternFill patternType="solid">
        <fgColor rgb="FFF8F9FA"/>
        <bgColor rgb="FFFAFAFA"/>
      </patternFill>
    </fill>
    <fill>
      <patternFill patternType="solid">
        <fgColor rgb="FFFFEBEE"/>
        <bgColor rgb="FFF0F0F0"/>
      </patternFill>
    </fill>
    <fill>
      <patternFill patternType="solid">
        <fgColor rgb="FF7B241C"/>
        <bgColor rgb="FF784212"/>
      </patternFill>
    </fill>
    <fill>
      <patternFill patternType="solid">
        <fgColor rgb="FF784212"/>
        <bgColor rgb="FF7B241C"/>
      </patternFill>
    </fill>
    <fill>
      <patternFill patternType="solid">
        <fgColor rgb="FF1E8449"/>
        <bgColor rgb="FF008080"/>
      </patternFill>
    </fill>
    <fill>
      <patternFill patternType="solid">
        <fgColor rgb="FF154360"/>
        <bgColor rgb="FF0F3460"/>
      </patternFill>
    </fill>
    <fill>
      <patternFill patternType="solid">
        <fgColor rgb="FFE8F8F5"/>
        <bgColor rgb="FFEBF5FB"/>
      </patternFill>
    </fill>
  </fills>
  <borders count="9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3498DB"/>
      </left>
      <right style="thin">
        <color rgb="FF3498DB"/>
      </right>
      <top style="thin">
        <color rgb="FF3498DB"/>
      </top>
      <bottom style="thin">
        <color rgb="FF3498DB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7AE60"/>
      </left>
      <right/>
      <top style="thin">
        <color rgb="FF27AE60"/>
      </top>
      <bottom style="thin">
        <color rgb="FF27AE60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12" fillId="8" borderId="1" xfId="0" applyNumberFormat="1" applyFont="1" applyFill="1" applyBorder="1" applyAlignment="1">
      <alignment horizontal="center" vertical="center" wrapText="1"/>
    </xf>
    <xf numFmtId="164" fontId="13" fillId="14" borderId="1" xfId="0" applyNumberFormat="1" applyFont="1" applyFill="1" applyBorder="1" applyAlignment="1">
      <alignment horizontal="center" vertical="center" wrapText="1"/>
    </xf>
    <xf numFmtId="166" fontId="12" fillId="8" borderId="1" xfId="0" applyNumberFormat="1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1" fontId="11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0" fillId="6" borderId="5" xfId="0" applyFill="1" applyBorder="1"/>
    <xf numFmtId="0" fontId="2" fillId="7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0" fontId="4" fillId="5" borderId="2" xfId="0" applyNumberFormat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164" fontId="7" fillId="8" borderId="3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164" fontId="7" fillId="9" borderId="3" xfId="0" applyNumberFormat="1" applyFont="1" applyFill="1" applyBorder="1" applyAlignment="1">
      <alignment horizontal="center" vertical="center" wrapText="1"/>
    </xf>
    <xf numFmtId="165" fontId="7" fillId="9" borderId="3" xfId="0" applyNumberFormat="1" applyFont="1" applyFill="1" applyBorder="1" applyAlignment="1">
      <alignment horizontal="center" vertical="center" wrapText="1"/>
    </xf>
    <xf numFmtId="10" fontId="7" fillId="8" borderId="3" xfId="0" applyNumberFormat="1" applyFont="1" applyFill="1" applyBorder="1" applyAlignment="1">
      <alignment horizontal="center" vertical="center" wrapText="1"/>
    </xf>
    <xf numFmtId="10" fontId="7" fillId="9" borderId="3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center" vertical="center" wrapText="1"/>
    </xf>
    <xf numFmtId="167" fontId="16" fillId="8" borderId="1" xfId="0" applyNumberFormat="1" applyFont="1" applyFill="1" applyBorder="1" applyAlignment="1">
      <alignment horizontal="center" vertical="center" wrapText="1"/>
    </xf>
    <xf numFmtId="168" fontId="15" fillId="8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64" fontId="15" fillId="14" borderId="1" xfId="0" applyNumberFormat="1" applyFont="1" applyFill="1" applyBorder="1" applyAlignment="1">
      <alignment horizontal="center" vertical="center" wrapText="1"/>
    </xf>
    <xf numFmtId="167" fontId="17" fillId="14" borderId="1" xfId="0" applyNumberFormat="1" applyFont="1" applyFill="1" applyBorder="1" applyAlignment="1">
      <alignment horizontal="center" vertical="center" wrapText="1"/>
    </xf>
    <xf numFmtId="168" fontId="15" fillId="1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167" fontId="16" fillId="14" borderId="1" xfId="0" applyNumberFormat="1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10" fillId="16" borderId="7" xfId="0" applyFont="1" applyFill="1" applyBorder="1" applyAlignment="1">
      <alignment horizontal="center" vertical="center" wrapText="1"/>
    </xf>
    <xf numFmtId="0" fontId="10" fillId="17" borderId="7" xfId="0" applyFont="1" applyFill="1" applyBorder="1" applyAlignment="1">
      <alignment horizontal="center" vertical="center" wrapText="1"/>
    </xf>
    <xf numFmtId="0" fontId="10" fillId="18" borderId="7" xfId="0" applyFont="1" applyFill="1" applyBorder="1" applyAlignment="1">
      <alignment horizontal="center" vertical="center" wrapText="1"/>
    </xf>
    <xf numFmtId="164" fontId="6" fillId="14" borderId="1" xfId="0" applyNumberFormat="1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164" fontId="6" fillId="19" borderId="1" xfId="0" applyNumberFormat="1" applyFont="1" applyFill="1" applyBorder="1" applyAlignment="1">
      <alignment horizontal="center" vertical="center" wrapText="1"/>
    </xf>
    <xf numFmtId="169" fontId="6" fillId="14" borderId="1" xfId="0" applyNumberFormat="1" applyFont="1" applyFill="1" applyBorder="1" applyAlignment="1">
      <alignment horizontal="center" vertical="center" wrapText="1"/>
    </xf>
    <xf numFmtId="169" fontId="6" fillId="10" borderId="1" xfId="0" applyNumberFormat="1" applyFont="1" applyFill="1" applyBorder="1" applyAlignment="1">
      <alignment horizontal="center" vertical="center" wrapText="1"/>
    </xf>
    <xf numFmtId="169" fontId="6" fillId="8" borderId="1" xfId="0" applyNumberFormat="1" applyFont="1" applyFill="1" applyBorder="1" applyAlignment="1">
      <alignment horizontal="center" vertical="center" wrapText="1"/>
    </xf>
    <xf numFmtId="169" fontId="6" fillId="19" borderId="1" xfId="0" applyNumberFormat="1" applyFont="1" applyFill="1" applyBorder="1" applyAlignment="1">
      <alignment horizontal="center" vertical="center" wrapText="1"/>
    </xf>
    <xf numFmtId="166" fontId="6" fillId="14" borderId="1" xfId="0" applyNumberFormat="1" applyFont="1" applyFill="1" applyBorder="1" applyAlignment="1">
      <alignment horizontal="center" vertical="center" wrapText="1"/>
    </xf>
    <xf numFmtId="166" fontId="6" fillId="10" borderId="1" xfId="0" applyNumberFormat="1" applyFont="1" applyFill="1" applyBorder="1" applyAlignment="1">
      <alignment horizontal="center" vertical="center" wrapText="1"/>
    </xf>
    <xf numFmtId="166" fontId="6" fillId="8" borderId="1" xfId="0" applyNumberFormat="1" applyFont="1" applyFill="1" applyBorder="1" applyAlignment="1">
      <alignment horizontal="center" vertical="center" wrapText="1"/>
    </xf>
    <xf numFmtId="166" fontId="6" fillId="19" borderId="1" xfId="0" applyNumberFormat="1" applyFont="1" applyFill="1" applyBorder="1" applyAlignment="1">
      <alignment horizontal="center" vertical="center" wrapText="1"/>
    </xf>
    <xf numFmtId="166" fontId="20" fillId="14" borderId="1" xfId="0" applyNumberFormat="1" applyFont="1" applyFill="1" applyBorder="1" applyAlignment="1">
      <alignment horizontal="center" vertical="center" wrapText="1"/>
    </xf>
    <xf numFmtId="166" fontId="21" fillId="10" borderId="1" xfId="0" applyNumberFormat="1" applyFont="1" applyFill="1" applyBorder="1" applyAlignment="1">
      <alignment horizontal="center" vertical="center" wrapText="1"/>
    </xf>
    <xf numFmtId="166" fontId="21" fillId="8" borderId="1" xfId="0" applyNumberFormat="1" applyFont="1" applyFill="1" applyBorder="1" applyAlignment="1">
      <alignment horizontal="center" vertical="center" wrapText="1"/>
    </xf>
    <xf numFmtId="166" fontId="21" fillId="19" borderId="1" xfId="0" applyNumberFormat="1" applyFont="1" applyFill="1" applyBorder="1" applyAlignment="1">
      <alignment horizontal="center" vertical="center" wrapText="1"/>
    </xf>
    <xf numFmtId="1" fontId="6" fillId="14" borderId="1" xfId="0" applyNumberFormat="1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1" fontId="6" fillId="19" borderId="1" xfId="0" applyNumberFormat="1" applyFont="1" applyFill="1" applyBorder="1" applyAlignment="1">
      <alignment horizontal="center" vertical="center" wrapText="1"/>
    </xf>
    <xf numFmtId="164" fontId="11" fillId="9" borderId="1" xfId="0" applyNumberFormat="1" applyFont="1" applyFill="1" applyBorder="1" applyAlignment="1">
      <alignment horizontal="center" vertical="center" wrapText="1"/>
    </xf>
    <xf numFmtId="2" fontId="12" fillId="8" borderId="1" xfId="0" applyNumberFormat="1" applyFont="1" applyFill="1" applyBorder="1" applyAlignment="1">
      <alignment horizontal="center" vertical="center" wrapText="1"/>
    </xf>
    <xf numFmtId="2" fontId="11" fillId="13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166" fontId="19" fillId="13" borderId="1" xfId="0" applyNumberFormat="1" applyFont="1" applyFill="1" applyBorder="1" applyAlignment="1">
      <alignment horizontal="center" vertical="center" wrapText="1"/>
    </xf>
    <xf numFmtId="167" fontId="20" fillId="14" borderId="1" xfId="0" applyNumberFormat="1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166" fontId="21" fillId="9" borderId="1" xfId="0" applyNumberFormat="1" applyFont="1" applyFill="1" applyBorder="1" applyAlignment="1">
      <alignment horizontal="center" vertical="center" wrapText="1"/>
    </xf>
    <xf numFmtId="167" fontId="21" fillId="8" borderId="1" xfId="0" applyNumberFormat="1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166" fontId="20" fillId="13" borderId="1" xfId="0" applyNumberFormat="1" applyFont="1" applyFill="1" applyBorder="1" applyAlignment="1">
      <alignment horizontal="center" vertical="center" wrapText="1"/>
    </xf>
    <xf numFmtId="166" fontId="20" fillId="9" borderId="1" xfId="0" applyNumberFormat="1" applyFont="1" applyFill="1" applyBorder="1" applyAlignment="1">
      <alignment horizontal="center" vertical="center" wrapText="1"/>
    </xf>
    <xf numFmtId="166" fontId="21" fillId="13" borderId="1" xfId="0" applyNumberFormat="1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left" vertical="center" wrapText="1"/>
    </xf>
    <xf numFmtId="0" fontId="18" fillId="9" borderId="8" xfId="0" applyFont="1" applyFill="1" applyBorder="1" applyAlignment="1">
      <alignment horizontal="left" vertical="center" wrapText="1"/>
    </xf>
    <xf numFmtId="0" fontId="18" fillId="8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6640"/>
      <rgbColor rgb="FF000080"/>
      <rgbColor rgb="FF808000"/>
      <rgbColor rgb="FF800080"/>
      <rgbColor rgb="FF1E8449"/>
      <rgbColor rgb="FFBDC3C7"/>
      <rgbColor rgb="FF7F8C8D"/>
      <rgbColor rgb="FF9999FF"/>
      <rgbColor rgb="FFC0392B"/>
      <rgbColor rgb="FFFFF9C4"/>
      <rgbColor rgb="FFE8F8F5"/>
      <rgbColor rgb="FF660066"/>
      <rgbColor rgb="FFFF8080"/>
      <rgbColor rgb="FF0066CC"/>
      <rgbColor rgb="FFEA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5FB"/>
      <rgbColor rgb="FFFFEBEE"/>
      <rgbColor rgb="FFF8F9FA"/>
      <rgbColor rgb="FFFAFAFA"/>
      <rgbColor rgb="FFCC99FF"/>
      <rgbColor rgb="FFF0F0F0"/>
      <rgbColor rgb="FF3498DB"/>
      <rgbColor rgb="FF33CCCC"/>
      <rgbColor rgb="FF99CC00"/>
      <rgbColor rgb="FFFFCC00"/>
      <rgbColor rgb="FFF39C12"/>
      <rgbColor rgb="FFFF6600"/>
      <rgbColor rgb="FF666699"/>
      <rgbColor rgb="FF969696"/>
      <rgbColor rgb="FF0F3460"/>
      <rgbColor rgb="FF27AE60"/>
      <rgbColor rgb="FF003300"/>
      <rgbColor rgb="FF1A1A2E"/>
      <rgbColor rgb="FF7B241C"/>
      <rgbColor rgb="FF784212"/>
      <rgbColor rgb="FF154360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9"/>
  <sheetViews>
    <sheetView topLeftCell="A25" zoomScaleNormal="100" workbookViewId="0">
      <selection activeCell="C6" sqref="C6"/>
    </sheetView>
  </sheetViews>
  <sheetFormatPr baseColWidth="10" defaultColWidth="8.6640625" defaultRowHeight="15" customHeight="1" x14ac:dyDescent="0.3"/>
  <cols>
    <col min="1" max="1" width="3" customWidth="1"/>
    <col min="2" max="2" width="28" customWidth="1"/>
    <col min="3" max="3" width="18" customWidth="1"/>
    <col min="4" max="4" width="4" customWidth="1"/>
    <col min="5" max="5" width="28" customWidth="1"/>
    <col min="6" max="6" width="18" customWidth="1"/>
    <col min="7" max="7" width="3" customWidth="1"/>
  </cols>
  <sheetData>
    <row r="1" spans="2:6" ht="9.75" customHeight="1" x14ac:dyDescent="0.3"/>
    <row r="2" spans="2:6" ht="42" customHeight="1" x14ac:dyDescent="0.3">
      <c r="B2" s="14" t="s">
        <v>0</v>
      </c>
      <c r="C2" s="14"/>
      <c r="D2" s="14"/>
      <c r="E2" s="14"/>
      <c r="F2" s="14"/>
    </row>
    <row r="3" spans="2:6" ht="9.75" customHeight="1" x14ac:dyDescent="0.3"/>
    <row r="4" spans="2:6" ht="21.75" customHeight="1" x14ac:dyDescent="0.3">
      <c r="B4" s="13" t="s">
        <v>1</v>
      </c>
      <c r="C4" s="13"/>
      <c r="D4" s="13"/>
      <c r="E4" s="13"/>
      <c r="F4" s="13"/>
    </row>
    <row r="5" spans="2:6" ht="25.5" customHeight="1" x14ac:dyDescent="0.3">
      <c r="B5" s="15" t="s">
        <v>2</v>
      </c>
      <c r="C5" s="16">
        <v>8</v>
      </c>
      <c r="E5" s="17" t="s">
        <v>3</v>
      </c>
    </row>
    <row r="6" spans="2:6" ht="25.5" customHeight="1" x14ac:dyDescent="0.3">
      <c r="B6" s="15" t="s">
        <v>4</v>
      </c>
      <c r="C6" s="18">
        <v>1.4999999999999999E-2</v>
      </c>
      <c r="E6" s="17" t="s">
        <v>5</v>
      </c>
    </row>
    <row r="7" spans="2:6" ht="25.5" customHeight="1" x14ac:dyDescent="0.3">
      <c r="B7" s="15" t="s">
        <v>6</v>
      </c>
      <c r="C7" s="18">
        <v>1.4999999999999999E-2</v>
      </c>
      <c r="E7" s="17" t="s">
        <v>7</v>
      </c>
    </row>
    <row r="8" spans="2:6" ht="25.5" customHeight="1" x14ac:dyDescent="0.3">
      <c r="B8" s="15" t="s">
        <v>8</v>
      </c>
      <c r="C8" s="19">
        <v>10</v>
      </c>
      <c r="E8" s="17" t="s">
        <v>9</v>
      </c>
    </row>
    <row r="9" spans="2:6" ht="25.5" customHeight="1" x14ac:dyDescent="0.3">
      <c r="B9" s="15" t="s">
        <v>10</v>
      </c>
      <c r="C9" s="18">
        <v>1E-3</v>
      </c>
      <c r="E9" s="17" t="s">
        <v>11</v>
      </c>
    </row>
    <row r="10" spans="2:6" ht="21.75" customHeight="1" x14ac:dyDescent="0.3"/>
    <row r="11" spans="2:6" ht="21.75" customHeight="1" x14ac:dyDescent="0.3">
      <c r="B11" s="13" t="s">
        <v>12</v>
      </c>
      <c r="C11" s="13"/>
      <c r="D11" s="13"/>
      <c r="E11" s="13"/>
      <c r="F11" s="13"/>
    </row>
    <row r="12" spans="2:6" ht="25.5" customHeight="1" x14ac:dyDescent="0.3">
      <c r="B12" s="15" t="s">
        <v>13</v>
      </c>
      <c r="C12" s="20" t="s">
        <v>137</v>
      </c>
      <c r="E12" s="17" t="s">
        <v>15</v>
      </c>
    </row>
    <row r="13" spans="2:6" ht="25.5" customHeight="1" x14ac:dyDescent="0.3">
      <c r="B13" s="15" t="s">
        <v>16</v>
      </c>
      <c r="C13" s="16">
        <v>668.95</v>
      </c>
      <c r="E13" s="17" t="s">
        <v>17</v>
      </c>
    </row>
    <row r="14" spans="2:6" ht="21.75" customHeight="1" x14ac:dyDescent="0.3">
      <c r="C14">
        <v>668.95</v>
      </c>
    </row>
    <row r="15" spans="2:6" ht="21.75" customHeight="1" x14ac:dyDescent="0.3">
      <c r="B15" s="12" t="s">
        <v>18</v>
      </c>
      <c r="C15" s="12"/>
      <c r="D15" s="12"/>
      <c r="E15" s="12"/>
      <c r="F15" s="12"/>
    </row>
    <row r="16" spans="2:6" ht="25.5" customHeight="1" x14ac:dyDescent="0.3">
      <c r="B16" s="21" t="s">
        <v>19</v>
      </c>
      <c r="C16" s="22">
        <f>C5*C6</f>
        <v>0.12</v>
      </c>
      <c r="E16" s="17" t="s">
        <v>20</v>
      </c>
    </row>
    <row r="17" spans="2:6" ht="25.5" customHeight="1" x14ac:dyDescent="0.3">
      <c r="B17" s="23" t="s">
        <v>21</v>
      </c>
      <c r="C17" s="24">
        <f>C5*C6/C7</f>
        <v>8</v>
      </c>
      <c r="E17" s="17" t="s">
        <v>22</v>
      </c>
    </row>
    <row r="18" spans="2:6" ht="25.5" customHeight="1" x14ac:dyDescent="0.3">
      <c r="B18" s="21" t="s">
        <v>23</v>
      </c>
      <c r="C18" s="22">
        <f>C17*C8</f>
        <v>80</v>
      </c>
      <c r="E18" s="17" t="s">
        <v>24</v>
      </c>
    </row>
    <row r="19" spans="2:6" ht="25.5" customHeight="1" x14ac:dyDescent="0.3">
      <c r="B19" s="23" t="s">
        <v>25</v>
      </c>
      <c r="C19" s="25">
        <f>C18/C13</f>
        <v>0.11959040287016966</v>
      </c>
      <c r="E19" s="17" t="s">
        <v>26</v>
      </c>
    </row>
    <row r="20" spans="2:6" ht="25.5" customHeight="1" x14ac:dyDescent="0.3">
      <c r="B20" s="21" t="s">
        <v>27</v>
      </c>
      <c r="C20" s="22">
        <f>C13*(1-C7)</f>
        <v>658.91575</v>
      </c>
      <c r="E20" s="17" t="s">
        <v>28</v>
      </c>
    </row>
    <row r="21" spans="2:6" ht="25.5" customHeight="1" x14ac:dyDescent="0.3">
      <c r="B21" s="23" t="s">
        <v>29</v>
      </c>
      <c r="C21" s="24">
        <f>C13*(1+C7*2)</f>
        <v>689.01850000000002</v>
      </c>
      <c r="E21" s="17" t="s">
        <v>30</v>
      </c>
    </row>
    <row r="22" spans="2:6" ht="25.5" customHeight="1" x14ac:dyDescent="0.3">
      <c r="B22" s="21" t="s">
        <v>31</v>
      </c>
      <c r="C22" s="22">
        <f>C13*(1+C7*3)</f>
        <v>699.05274999999995</v>
      </c>
      <c r="E22" s="17" t="s">
        <v>32</v>
      </c>
    </row>
    <row r="23" spans="2:6" ht="25.5" customHeight="1" x14ac:dyDescent="0.3">
      <c r="B23" s="23" t="s">
        <v>33</v>
      </c>
      <c r="C23" s="24">
        <f>C18*C9*2</f>
        <v>0.16</v>
      </c>
      <c r="E23" s="17" t="s">
        <v>34</v>
      </c>
    </row>
    <row r="24" spans="2:6" ht="25.5" customHeight="1" x14ac:dyDescent="0.3">
      <c r="B24" s="21" t="s">
        <v>35</v>
      </c>
      <c r="C24" s="26">
        <f>C23/C17</f>
        <v>0.02</v>
      </c>
      <c r="E24" s="17" t="s">
        <v>36</v>
      </c>
    </row>
    <row r="25" spans="2:6" ht="25.5" customHeight="1" x14ac:dyDescent="0.3">
      <c r="B25" s="23" t="s">
        <v>37</v>
      </c>
      <c r="C25" s="27">
        <f>C9*2/C7*C7+C9*2</f>
        <v>4.0000000000000001E-3</v>
      </c>
      <c r="E25" s="17" t="s">
        <v>38</v>
      </c>
    </row>
    <row r="26" spans="2:6" ht="25.5" customHeight="1" x14ac:dyDescent="0.3">
      <c r="B26" s="21" t="s">
        <v>39</v>
      </c>
      <c r="C26" s="22">
        <f>C18*C7*2-C23</f>
        <v>2.2399999999999998</v>
      </c>
      <c r="E26" s="17" t="s">
        <v>40</v>
      </c>
    </row>
    <row r="27" spans="2:6" ht="25.5" customHeight="1" x14ac:dyDescent="0.3">
      <c r="B27" s="23" t="s">
        <v>41</v>
      </c>
      <c r="C27" s="24">
        <f>C18*C7*3-C23</f>
        <v>3.4399999999999995</v>
      </c>
      <c r="E27" s="17" t="s">
        <v>42</v>
      </c>
    </row>
    <row r="28" spans="2:6" ht="21.75" customHeight="1" x14ac:dyDescent="0.3"/>
    <row r="29" spans="2:6" ht="21.75" customHeight="1" x14ac:dyDescent="0.3">
      <c r="B29" s="13" t="s">
        <v>43</v>
      </c>
      <c r="C29" s="13"/>
      <c r="D29" s="13"/>
      <c r="E29" s="13"/>
      <c r="F29" s="13"/>
    </row>
    <row r="30" spans="2:6" ht="25.5" customHeight="1" x14ac:dyDescent="0.3">
      <c r="B30" s="28" t="s">
        <v>44</v>
      </c>
      <c r="C30" s="29" t="str">
        <f>IF(C8&lt;=10,"✅ SEGURO",IF(C8&lt;=20,"⚠️ MODERADO","🔴 PELIGROSO"))</f>
        <v>✅ SEGURO</v>
      </c>
      <c r="E30" s="11"/>
      <c r="F30" s="11"/>
    </row>
    <row r="31" spans="2:6" ht="25.5" customHeight="1" x14ac:dyDescent="0.3">
      <c r="B31" s="28" t="s">
        <v>45</v>
      </c>
      <c r="C31" s="29" t="str">
        <f>IF(B24&lt;=0.03,"✅ ACEPTABLE",IF(B24&lt;=0.06,"⚠️ ALTO","🔴 CRITICO"))</f>
        <v>🔴 CRITICO</v>
      </c>
      <c r="E31" s="11"/>
      <c r="F31" s="11"/>
    </row>
    <row r="32" spans="2:6" ht="25.5" customHeight="1" x14ac:dyDescent="0.3">
      <c r="B32" s="28" t="s">
        <v>46</v>
      </c>
      <c r="C32" s="29" t="str">
        <f>IF(C7&gt;0,"Usa TP en "&amp;TEXT(C13*(1+C7*2),"$#,##0.00"),"Sin SL definido")</f>
        <v>Usa TP en $689,01850</v>
      </c>
      <c r="E32" s="11"/>
      <c r="F32" s="11"/>
    </row>
    <row r="33" spans="2:6" ht="25.5" customHeight="1" x14ac:dyDescent="0.3">
      <c r="B33" s="28" t="s">
        <v>47</v>
      </c>
      <c r="C33" s="29" t="str">
        <f>IF(C6&lt;=0.01,"✅ CONSERVADOR",IF(C6&lt;=0.02,"⚠️ MODERADO","🔴 AGRESIVO"))</f>
        <v>⚠️ MODERADO</v>
      </c>
      <c r="E33" s="11"/>
      <c r="F33" s="11"/>
    </row>
    <row r="34" spans="2:6" ht="21.75" customHeight="1" x14ac:dyDescent="0.3"/>
    <row r="35" spans="2:6" ht="21.75" customHeight="1" x14ac:dyDescent="0.3">
      <c r="B35" s="10" t="s">
        <v>48</v>
      </c>
      <c r="C35" s="10"/>
      <c r="D35" s="10"/>
      <c r="E35" s="10"/>
      <c r="F35" s="10"/>
    </row>
    <row r="36" spans="2:6" ht="21.75" customHeight="1" x14ac:dyDescent="0.3"/>
    <row r="37" spans="2:6" ht="21.75" customHeight="1" x14ac:dyDescent="0.3"/>
    <row r="38" spans="2:6" ht="21.75" customHeight="1" x14ac:dyDescent="0.3"/>
    <row r="39" spans="2:6" ht="21.75" customHeight="1" x14ac:dyDescent="0.3"/>
    <row r="40" spans="2:6" ht="21.75" customHeight="1" x14ac:dyDescent="0.3"/>
    <row r="41" spans="2:6" ht="21.75" customHeight="1" x14ac:dyDescent="0.3"/>
    <row r="42" spans="2:6" ht="21.75" customHeight="1" x14ac:dyDescent="0.3"/>
    <row r="43" spans="2:6" ht="21.75" customHeight="1" x14ac:dyDescent="0.3"/>
    <row r="44" spans="2:6" ht="21.75" customHeight="1" x14ac:dyDescent="0.3"/>
    <row r="45" spans="2:6" ht="21.75" customHeight="1" x14ac:dyDescent="0.3"/>
    <row r="46" spans="2:6" ht="21.75" customHeight="1" x14ac:dyDescent="0.3"/>
    <row r="47" spans="2:6" ht="21.75" customHeight="1" x14ac:dyDescent="0.3"/>
    <row r="48" spans="2:6" ht="21.75" customHeight="1" x14ac:dyDescent="0.3"/>
    <row r="49" ht="21.75" customHeight="1" x14ac:dyDescent="0.3"/>
    <row r="50" ht="21.75" customHeight="1" x14ac:dyDescent="0.3"/>
    <row r="51" ht="21.75" customHeight="1" x14ac:dyDescent="0.3"/>
    <row r="52" ht="21.75" customHeight="1" x14ac:dyDescent="0.3"/>
    <row r="53" ht="21.75" customHeight="1" x14ac:dyDescent="0.3"/>
    <row r="54" ht="21.75" customHeight="1" x14ac:dyDescent="0.3"/>
    <row r="55" ht="21.75" customHeight="1" x14ac:dyDescent="0.3"/>
    <row r="56" ht="21.75" customHeight="1" x14ac:dyDescent="0.3"/>
    <row r="57" ht="21.75" customHeight="1" x14ac:dyDescent="0.3"/>
    <row r="58" ht="21.75" customHeight="1" x14ac:dyDescent="0.3"/>
    <row r="59" ht="21.75" customHeight="1" x14ac:dyDescent="0.3"/>
  </sheetData>
  <mergeCells count="10">
    <mergeCell ref="E30:F30"/>
    <mergeCell ref="E31:F31"/>
    <mergeCell ref="E32:F32"/>
    <mergeCell ref="E33:F33"/>
    <mergeCell ref="B35:F35"/>
    <mergeCell ref="B2:F2"/>
    <mergeCell ref="B4:F4"/>
    <mergeCell ref="B11:F11"/>
    <mergeCell ref="B15:F15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7"/>
  <sheetViews>
    <sheetView topLeftCell="A44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5" customWidth="1"/>
    <col min="3" max="4" width="13" customWidth="1"/>
    <col min="5" max="5" width="10" customWidth="1"/>
    <col min="6" max="6" width="8" customWidth="1"/>
    <col min="7" max="7" width="10" customWidth="1"/>
    <col min="8" max="9" width="13" customWidth="1"/>
    <col min="10" max="10" width="14" customWidth="1"/>
    <col min="11" max="11" width="13" customWidth="1"/>
    <col min="12" max="14" width="10" customWidth="1"/>
    <col min="15" max="16" width="12" customWidth="1"/>
    <col min="17" max="18" width="10" customWidth="1"/>
    <col min="19" max="19" width="3" customWidth="1"/>
  </cols>
  <sheetData>
    <row r="2" spans="2:18" ht="37.5" customHeight="1" x14ac:dyDescent="0.3">
      <c r="B2" s="9" t="s">
        <v>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4" spans="2:18" ht="19.5" customHeight="1" x14ac:dyDescent="0.3">
      <c r="B4" s="13" t="s">
        <v>50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2:18" ht="15" customHeight="1" x14ac:dyDescent="0.3">
      <c r="B5" s="8" t="s">
        <v>51</v>
      </c>
      <c r="C5" s="8"/>
      <c r="D5" s="8"/>
      <c r="E5" s="8" t="s">
        <v>52</v>
      </c>
      <c r="F5" s="8"/>
      <c r="G5" s="8"/>
      <c r="H5" s="8" t="s">
        <v>53</v>
      </c>
      <c r="I5" s="8"/>
      <c r="J5" s="8"/>
      <c r="K5" s="8" t="s">
        <v>54</v>
      </c>
      <c r="L5" s="8"/>
      <c r="M5" s="8"/>
    </row>
    <row r="6" spans="2:18" ht="24" customHeight="1" x14ac:dyDescent="0.3">
      <c r="B6" s="7" t="s">
        <v>55</v>
      </c>
      <c r="C6" s="7"/>
      <c r="D6" s="7"/>
      <c r="E6" s="6">
        <v>16</v>
      </c>
      <c r="F6" s="6"/>
      <c r="G6" s="6"/>
      <c r="H6" s="6">
        <v>2</v>
      </c>
      <c r="I6" s="6"/>
      <c r="J6" s="6"/>
      <c r="K6" s="6">
        <v>18</v>
      </c>
      <c r="L6" s="6"/>
      <c r="M6" s="6"/>
    </row>
    <row r="7" spans="2:18" ht="24" customHeight="1" x14ac:dyDescent="0.3">
      <c r="B7" s="5" t="s">
        <v>56</v>
      </c>
      <c r="C7" s="5"/>
      <c r="D7" s="5"/>
      <c r="E7" s="4">
        <v>5</v>
      </c>
      <c r="F7" s="4"/>
      <c r="G7" s="4"/>
      <c r="H7" s="4">
        <v>2</v>
      </c>
      <c r="I7" s="4"/>
      <c r="J7" s="4"/>
      <c r="K7" s="4">
        <v>7</v>
      </c>
      <c r="L7" s="4"/>
      <c r="M7" s="4"/>
    </row>
    <row r="8" spans="2:18" ht="24" customHeight="1" x14ac:dyDescent="0.3">
      <c r="B8" s="7" t="s">
        <v>57</v>
      </c>
      <c r="C8" s="7"/>
      <c r="D8" s="7"/>
      <c r="E8" s="6">
        <v>11</v>
      </c>
      <c r="F8" s="6"/>
      <c r="G8" s="6"/>
      <c r="H8" s="6">
        <v>0</v>
      </c>
      <c r="I8" s="6"/>
      <c r="J8" s="6"/>
      <c r="K8" s="6">
        <v>11</v>
      </c>
      <c r="L8" s="6"/>
      <c r="M8" s="6"/>
    </row>
    <row r="9" spans="2:18" ht="24" customHeight="1" x14ac:dyDescent="0.3">
      <c r="B9" s="5" t="s">
        <v>58</v>
      </c>
      <c r="C9" s="5"/>
      <c r="D9" s="5"/>
      <c r="E9" s="3">
        <v>0.3125</v>
      </c>
      <c r="F9" s="3"/>
      <c r="G9" s="3"/>
      <c r="H9" s="3">
        <v>1</v>
      </c>
      <c r="I9" s="3"/>
      <c r="J9" s="3"/>
      <c r="K9" s="3">
        <v>0.38890000000000002</v>
      </c>
      <c r="L9" s="3"/>
      <c r="M9" s="3"/>
    </row>
    <row r="10" spans="2:18" ht="24" customHeight="1" x14ac:dyDescent="0.3">
      <c r="B10" s="7" t="s">
        <v>59</v>
      </c>
      <c r="C10" s="7"/>
      <c r="D10" s="7"/>
      <c r="E10" s="2">
        <v>-3.4</v>
      </c>
      <c r="F10" s="2"/>
      <c r="G10" s="2"/>
      <c r="H10" s="1">
        <v>37.83</v>
      </c>
      <c r="I10" s="1"/>
      <c r="J10" s="1"/>
      <c r="K10" s="1">
        <v>34.43</v>
      </c>
      <c r="L10" s="1"/>
      <c r="M10" s="1"/>
    </row>
    <row r="11" spans="2:18" ht="24" customHeight="1" x14ac:dyDescent="0.3">
      <c r="B11" s="5" t="s">
        <v>60</v>
      </c>
      <c r="C11" s="5"/>
      <c r="D11" s="5"/>
      <c r="E11" s="2">
        <v>-5.23</v>
      </c>
      <c r="F11" s="2"/>
      <c r="G11" s="2"/>
      <c r="H11" s="1">
        <v>37.130000000000003</v>
      </c>
      <c r="I11" s="1"/>
      <c r="J11" s="1"/>
      <c r="K11" s="1">
        <v>31.9</v>
      </c>
      <c r="L11" s="1"/>
      <c r="M11" s="1"/>
    </row>
    <row r="12" spans="2:18" ht="24" customHeight="1" x14ac:dyDescent="0.3">
      <c r="B12" s="7" t="s">
        <v>61</v>
      </c>
      <c r="C12" s="7"/>
      <c r="D12" s="7"/>
      <c r="E12" s="1">
        <v>1.74</v>
      </c>
      <c r="F12" s="1"/>
      <c r="G12" s="1"/>
      <c r="H12" s="1">
        <v>18.57</v>
      </c>
      <c r="I12" s="1"/>
      <c r="J12" s="1"/>
      <c r="K12" s="1">
        <v>6.55</v>
      </c>
      <c r="L12" s="1"/>
      <c r="M12" s="1"/>
    </row>
    <row r="13" spans="2:18" ht="24" customHeight="1" x14ac:dyDescent="0.3">
      <c r="B13" s="5" t="s">
        <v>62</v>
      </c>
      <c r="C13" s="5"/>
      <c r="D13" s="5"/>
      <c r="E13" s="1">
        <v>1.27</v>
      </c>
      <c r="F13" s="1"/>
      <c r="G13" s="1"/>
      <c r="H13" s="70">
        <v>0</v>
      </c>
      <c r="I13" s="70"/>
      <c r="J13" s="70"/>
      <c r="K13" s="1">
        <v>1.27</v>
      </c>
      <c r="L13" s="1"/>
      <c r="M13" s="1"/>
    </row>
    <row r="14" spans="2:18" ht="24" customHeight="1" x14ac:dyDescent="0.3">
      <c r="B14" s="7" t="s">
        <v>63</v>
      </c>
      <c r="C14" s="7"/>
      <c r="D14" s="7"/>
      <c r="E14" s="71">
        <v>1.37</v>
      </c>
      <c r="F14" s="71"/>
      <c r="G14" s="71"/>
      <c r="H14" s="72">
        <v>0</v>
      </c>
      <c r="I14" s="72"/>
      <c r="J14" s="72"/>
      <c r="K14" s="71">
        <v>5.16</v>
      </c>
      <c r="L14" s="71"/>
      <c r="M14" s="71"/>
    </row>
    <row r="15" spans="2:18" ht="24" customHeight="1" x14ac:dyDescent="0.3">
      <c r="B15" s="5" t="s">
        <v>64</v>
      </c>
      <c r="C15" s="5"/>
      <c r="D15" s="5"/>
      <c r="E15" s="1">
        <v>4.88</v>
      </c>
      <c r="F15" s="1"/>
      <c r="G15" s="1"/>
      <c r="H15" s="1">
        <v>0.7</v>
      </c>
      <c r="I15" s="1"/>
      <c r="J15" s="1"/>
      <c r="K15" s="1">
        <v>5.58</v>
      </c>
      <c r="L15" s="1"/>
      <c r="M15" s="1"/>
    </row>
    <row r="18" spans="2:18" ht="21.75" customHeight="1" x14ac:dyDescent="0.3">
      <c r="B18" s="13" t="s">
        <v>65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2:18" ht="27.75" customHeight="1" x14ac:dyDescent="0.3">
      <c r="B19" s="31" t="s">
        <v>66</v>
      </c>
      <c r="C19" s="31" t="s">
        <v>67</v>
      </c>
      <c r="D19" s="31" t="s">
        <v>68</v>
      </c>
      <c r="E19" s="31" t="s">
        <v>69</v>
      </c>
      <c r="F19" s="31" t="s">
        <v>13</v>
      </c>
      <c r="G19" s="31" t="s">
        <v>70</v>
      </c>
      <c r="H19" s="31" t="s">
        <v>71</v>
      </c>
      <c r="I19" s="31" t="s">
        <v>72</v>
      </c>
      <c r="J19" s="31" t="s">
        <v>73</v>
      </c>
      <c r="K19" s="31" t="s">
        <v>74</v>
      </c>
      <c r="L19" s="31" t="s">
        <v>75</v>
      </c>
      <c r="M19" s="31" t="s">
        <v>76</v>
      </c>
      <c r="N19" s="31" t="s">
        <v>77</v>
      </c>
      <c r="O19" s="31" t="s">
        <v>78</v>
      </c>
      <c r="P19" s="31" t="s">
        <v>79</v>
      </c>
    </row>
    <row r="20" spans="2:18" ht="21.75" customHeight="1" x14ac:dyDescent="0.3">
      <c r="B20" s="32">
        <v>1</v>
      </c>
      <c r="C20" s="32" t="s">
        <v>80</v>
      </c>
      <c r="D20" s="32" t="s">
        <v>80</v>
      </c>
      <c r="E20" s="32" t="s">
        <v>81</v>
      </c>
      <c r="F20" s="32" t="s">
        <v>82</v>
      </c>
      <c r="G20" s="33" t="s">
        <v>83</v>
      </c>
      <c r="H20" s="32" t="s">
        <v>84</v>
      </c>
      <c r="I20" s="34">
        <v>1.3874</v>
      </c>
      <c r="J20" s="34">
        <v>1.3984000000000001</v>
      </c>
      <c r="K20" s="34">
        <v>5</v>
      </c>
      <c r="L20" s="34">
        <v>0.32</v>
      </c>
      <c r="M20" s="35">
        <v>2.5</v>
      </c>
      <c r="N20" s="35">
        <v>2.1800000000000002</v>
      </c>
      <c r="O20" s="36">
        <v>0.43630000000000002</v>
      </c>
    </row>
    <row r="21" spans="2:18" ht="21.75" customHeight="1" x14ac:dyDescent="0.3">
      <c r="B21" s="37">
        <v>2</v>
      </c>
      <c r="C21" s="37" t="s">
        <v>80</v>
      </c>
      <c r="D21" s="37" t="s">
        <v>80</v>
      </c>
      <c r="E21" s="37" t="s">
        <v>81</v>
      </c>
      <c r="F21" s="37" t="s">
        <v>85</v>
      </c>
      <c r="G21" s="38" t="s">
        <v>86</v>
      </c>
      <c r="H21" s="37" t="s">
        <v>84</v>
      </c>
      <c r="I21" s="39">
        <v>2062.81</v>
      </c>
      <c r="J21" s="39">
        <v>2072.2199999999998</v>
      </c>
      <c r="K21" s="39">
        <v>5</v>
      </c>
      <c r="L21" s="39">
        <v>0.31</v>
      </c>
      <c r="M21" s="40">
        <v>-1.44</v>
      </c>
      <c r="N21" s="40">
        <v>-1.75</v>
      </c>
      <c r="O21" s="41">
        <v>-0.35020000000000001</v>
      </c>
    </row>
    <row r="22" spans="2:18" ht="21.75" customHeight="1" x14ac:dyDescent="0.3">
      <c r="B22" s="32">
        <v>3</v>
      </c>
      <c r="C22" s="32" t="s">
        <v>80</v>
      </c>
      <c r="D22" s="32" t="s">
        <v>80</v>
      </c>
      <c r="E22" s="32" t="s">
        <v>81</v>
      </c>
      <c r="F22" s="32" t="s">
        <v>82</v>
      </c>
      <c r="G22" s="42" t="s">
        <v>86</v>
      </c>
      <c r="H22" s="32" t="s">
        <v>84</v>
      </c>
      <c r="I22" s="34">
        <v>1.4025000000000001</v>
      </c>
      <c r="J22" s="34">
        <v>1.3932</v>
      </c>
      <c r="K22" s="34">
        <v>5.05</v>
      </c>
      <c r="L22" s="34">
        <v>0.32</v>
      </c>
      <c r="M22" s="35">
        <v>2.11</v>
      </c>
      <c r="N22" s="35">
        <v>1.79</v>
      </c>
      <c r="O22" s="36">
        <v>0.35439999999999999</v>
      </c>
    </row>
    <row r="23" spans="2:18" ht="21.75" customHeight="1" x14ac:dyDescent="0.3">
      <c r="B23" s="37">
        <v>4</v>
      </c>
      <c r="C23" s="37" t="s">
        <v>80</v>
      </c>
      <c r="D23" s="37" t="s">
        <v>80</v>
      </c>
      <c r="E23" s="37" t="s">
        <v>81</v>
      </c>
      <c r="F23" s="37" t="s">
        <v>82</v>
      </c>
      <c r="G23" s="43" t="s">
        <v>83</v>
      </c>
      <c r="H23" s="37" t="s">
        <v>84</v>
      </c>
      <c r="I23" s="39">
        <v>1.3922000000000001</v>
      </c>
      <c r="J23" s="39">
        <v>1.3894</v>
      </c>
      <c r="K23" s="39">
        <v>5.01</v>
      </c>
      <c r="L23" s="39">
        <v>0.32</v>
      </c>
      <c r="M23" s="40">
        <v>-0.64</v>
      </c>
      <c r="N23" s="40">
        <v>-0.96</v>
      </c>
      <c r="O23" s="41">
        <v>-0.19059999999999999</v>
      </c>
    </row>
    <row r="24" spans="2:18" ht="21.75" customHeight="1" x14ac:dyDescent="0.3">
      <c r="B24" s="32">
        <v>5</v>
      </c>
      <c r="C24" s="32" t="s">
        <v>87</v>
      </c>
      <c r="D24" s="32" t="s">
        <v>87</v>
      </c>
      <c r="E24" s="32" t="s">
        <v>81</v>
      </c>
      <c r="F24" s="32" t="s">
        <v>14</v>
      </c>
      <c r="G24" s="33" t="s">
        <v>83</v>
      </c>
      <c r="H24" s="32" t="s">
        <v>88</v>
      </c>
      <c r="I24" s="39">
        <v>69823</v>
      </c>
      <c r="J24" s="39">
        <v>69815.56</v>
      </c>
      <c r="K24" s="39">
        <v>8.3800000000000008</v>
      </c>
      <c r="L24" s="39">
        <v>0.84</v>
      </c>
      <c r="M24" s="40">
        <v>-0.06</v>
      </c>
      <c r="N24" s="40">
        <v>-0.9</v>
      </c>
      <c r="O24" s="41">
        <v>-0.1069</v>
      </c>
    </row>
    <row r="25" spans="2:18" ht="21.75" customHeight="1" x14ac:dyDescent="0.3">
      <c r="B25" s="37">
        <v>6</v>
      </c>
      <c r="C25" s="37" t="s">
        <v>87</v>
      </c>
      <c r="D25" s="37" t="s">
        <v>87</v>
      </c>
      <c r="E25" s="37" t="s">
        <v>81</v>
      </c>
      <c r="F25" s="37" t="s">
        <v>14</v>
      </c>
      <c r="G25" s="43" t="s">
        <v>83</v>
      </c>
      <c r="H25" s="37" t="s">
        <v>88</v>
      </c>
      <c r="I25" s="39">
        <v>70168.800000000003</v>
      </c>
      <c r="J25" s="39">
        <v>69826.2</v>
      </c>
      <c r="K25" s="39">
        <v>10.17</v>
      </c>
      <c r="L25" s="39">
        <v>0.56000000000000005</v>
      </c>
      <c r="M25" s="40">
        <v>-3.08</v>
      </c>
      <c r="N25" s="40">
        <v>-3.64</v>
      </c>
      <c r="O25" s="41">
        <v>-0.35780000000000001</v>
      </c>
    </row>
    <row r="26" spans="2:18" ht="21.75" customHeight="1" x14ac:dyDescent="0.3">
      <c r="B26" s="32">
        <v>7</v>
      </c>
      <c r="C26" s="32" t="s">
        <v>87</v>
      </c>
      <c r="D26" s="32" t="s">
        <v>87</v>
      </c>
      <c r="E26" s="32" t="s">
        <v>81</v>
      </c>
      <c r="F26" s="32" t="s">
        <v>14</v>
      </c>
      <c r="G26" s="33" t="s">
        <v>83</v>
      </c>
      <c r="H26" s="32" t="s">
        <v>88</v>
      </c>
      <c r="I26" s="39">
        <v>69669.2</v>
      </c>
      <c r="J26" s="39">
        <v>69384.3</v>
      </c>
      <c r="K26" s="39">
        <v>9.06</v>
      </c>
      <c r="L26" s="39">
        <v>0.56000000000000005</v>
      </c>
      <c r="M26" s="40">
        <v>-2.2999999999999998</v>
      </c>
      <c r="N26" s="40">
        <v>-2.86</v>
      </c>
      <c r="O26" s="41">
        <v>-0.31540000000000001</v>
      </c>
    </row>
    <row r="27" spans="2:18" ht="21.75" customHeight="1" x14ac:dyDescent="0.3">
      <c r="B27" s="37">
        <v>8</v>
      </c>
      <c r="C27" s="37" t="s">
        <v>87</v>
      </c>
      <c r="D27" s="37" t="s">
        <v>87</v>
      </c>
      <c r="E27" s="37" t="s">
        <v>81</v>
      </c>
      <c r="F27" s="37" t="s">
        <v>14</v>
      </c>
      <c r="G27" s="43" t="s">
        <v>83</v>
      </c>
      <c r="H27" s="37" t="s">
        <v>88</v>
      </c>
      <c r="I27" s="34">
        <v>69739.8</v>
      </c>
      <c r="J27" s="34">
        <v>70218.55</v>
      </c>
      <c r="K27" s="34">
        <v>9</v>
      </c>
      <c r="L27" s="34">
        <v>0.56000000000000005</v>
      </c>
      <c r="M27" s="35">
        <v>3.83</v>
      </c>
      <c r="N27" s="35">
        <v>3.27</v>
      </c>
      <c r="O27" s="36">
        <v>0.3634</v>
      </c>
    </row>
    <row r="28" spans="2:18" ht="21.75" customHeight="1" x14ac:dyDescent="0.3">
      <c r="B28" s="32">
        <v>9</v>
      </c>
      <c r="C28" s="32" t="s">
        <v>89</v>
      </c>
      <c r="D28" s="32" t="s">
        <v>89</v>
      </c>
      <c r="E28" s="32" t="s">
        <v>81</v>
      </c>
      <c r="F28" s="32" t="s">
        <v>14</v>
      </c>
      <c r="G28" s="42" t="s">
        <v>86</v>
      </c>
      <c r="H28" s="32" t="s">
        <v>88</v>
      </c>
      <c r="I28" s="39">
        <v>73398.2</v>
      </c>
      <c r="J28" s="39">
        <v>73637.899999999994</v>
      </c>
      <c r="K28" s="39">
        <v>4.7300000000000004</v>
      </c>
      <c r="L28" s="39">
        <v>0.3</v>
      </c>
      <c r="M28" s="40">
        <v>-0.96</v>
      </c>
      <c r="N28" s="40">
        <v>-1.26</v>
      </c>
      <c r="O28" s="41">
        <v>-0.26579999999999998</v>
      </c>
    </row>
    <row r="29" spans="2:18" ht="21.75" customHeight="1" x14ac:dyDescent="0.3">
      <c r="B29" s="37">
        <v>10</v>
      </c>
      <c r="C29" s="37" t="s">
        <v>89</v>
      </c>
      <c r="D29" s="37" t="s">
        <v>89</v>
      </c>
      <c r="E29" s="37" t="s">
        <v>81</v>
      </c>
      <c r="F29" s="37" t="s">
        <v>14</v>
      </c>
      <c r="G29" s="38" t="s">
        <v>86</v>
      </c>
      <c r="H29" s="37" t="s">
        <v>88</v>
      </c>
      <c r="I29" s="34">
        <v>73700.7</v>
      </c>
      <c r="J29" s="34">
        <v>73515.5</v>
      </c>
      <c r="K29" s="34">
        <v>4.75</v>
      </c>
      <c r="L29" s="34">
        <v>0.3</v>
      </c>
      <c r="M29" s="35">
        <v>0.74</v>
      </c>
      <c r="N29" s="35">
        <v>0.44</v>
      </c>
      <c r="O29" s="36">
        <v>9.2700000000000005E-2</v>
      </c>
    </row>
    <row r="30" spans="2:18" ht="21.75" customHeight="1" x14ac:dyDescent="0.3">
      <c r="B30" s="32">
        <v>11</v>
      </c>
      <c r="C30" s="32" t="s">
        <v>89</v>
      </c>
      <c r="D30" s="32" t="s">
        <v>89</v>
      </c>
      <c r="E30" s="32" t="s">
        <v>81</v>
      </c>
      <c r="F30" s="32" t="s">
        <v>82</v>
      </c>
      <c r="G30" s="33" t="s">
        <v>83</v>
      </c>
      <c r="H30" s="32" t="s">
        <v>84</v>
      </c>
      <c r="I30" s="39">
        <v>1.3991</v>
      </c>
      <c r="J30" s="39">
        <v>1.3984000000000001</v>
      </c>
      <c r="K30" s="39">
        <v>5.04</v>
      </c>
      <c r="L30" s="39">
        <v>0.32</v>
      </c>
      <c r="M30" s="40">
        <v>-0.16</v>
      </c>
      <c r="N30" s="40">
        <v>-0.48</v>
      </c>
      <c r="O30" s="41">
        <v>-9.5100000000000004E-2</v>
      </c>
    </row>
    <row r="31" spans="2:18" ht="21.75" customHeight="1" x14ac:dyDescent="0.3">
      <c r="B31" s="37">
        <v>12</v>
      </c>
      <c r="C31" s="37" t="s">
        <v>90</v>
      </c>
      <c r="D31" s="37" t="s">
        <v>90</v>
      </c>
      <c r="E31" s="37" t="s">
        <v>81</v>
      </c>
      <c r="F31" s="37" t="s">
        <v>91</v>
      </c>
      <c r="G31" s="43" t="s">
        <v>83</v>
      </c>
      <c r="H31" s="37" t="s">
        <v>92</v>
      </c>
      <c r="I31" s="39">
        <v>88.29</v>
      </c>
      <c r="J31" s="39">
        <v>88.14</v>
      </c>
      <c r="K31" s="39">
        <v>4.7699999999999996</v>
      </c>
      <c r="L31" s="39">
        <v>0.25</v>
      </c>
      <c r="M31" s="40">
        <v>-0.41</v>
      </c>
      <c r="N31" s="40">
        <v>-0.66</v>
      </c>
      <c r="O31" s="41">
        <v>-0.13739999999999999</v>
      </c>
    </row>
    <row r="32" spans="2:18" ht="21.75" customHeight="1" x14ac:dyDescent="0.3">
      <c r="B32" s="32">
        <v>13</v>
      </c>
      <c r="C32" s="32" t="s">
        <v>90</v>
      </c>
      <c r="D32" s="32" t="s">
        <v>90</v>
      </c>
      <c r="E32" s="32" t="s">
        <v>81</v>
      </c>
      <c r="F32" s="32" t="s">
        <v>14</v>
      </c>
      <c r="G32" s="33" t="s">
        <v>83</v>
      </c>
      <c r="H32" s="32" t="s">
        <v>88</v>
      </c>
      <c r="I32" s="39">
        <v>71635.899999999994</v>
      </c>
      <c r="J32" s="39">
        <v>71480.7</v>
      </c>
      <c r="K32" s="39">
        <v>4.62</v>
      </c>
      <c r="L32" s="39">
        <v>0.3</v>
      </c>
      <c r="M32" s="40">
        <v>-0.62</v>
      </c>
      <c r="N32" s="40">
        <v>-0.92</v>
      </c>
      <c r="O32" s="41">
        <v>-0.1993</v>
      </c>
    </row>
    <row r="33" spans="2:18" ht="21.75" customHeight="1" x14ac:dyDescent="0.3">
      <c r="B33" s="37">
        <v>14</v>
      </c>
      <c r="C33" s="37" t="s">
        <v>90</v>
      </c>
      <c r="D33" s="37" t="s">
        <v>90</v>
      </c>
      <c r="E33" s="37" t="s">
        <v>81</v>
      </c>
      <c r="F33" s="37" t="s">
        <v>93</v>
      </c>
      <c r="G33" s="43" t="s">
        <v>83</v>
      </c>
      <c r="H33" s="37" t="s">
        <v>94</v>
      </c>
      <c r="I33" s="39">
        <v>661.06</v>
      </c>
      <c r="J33" s="39">
        <v>658.67</v>
      </c>
      <c r="K33" s="39">
        <v>4.76</v>
      </c>
      <c r="L33" s="39">
        <v>0.08</v>
      </c>
      <c r="M33" s="40">
        <v>-0.26</v>
      </c>
      <c r="N33" s="40">
        <v>-0.34</v>
      </c>
      <c r="O33" s="41">
        <v>-7.0999999999999994E-2</v>
      </c>
    </row>
    <row r="34" spans="2:18" ht="21.75" customHeight="1" x14ac:dyDescent="0.3">
      <c r="B34" s="32">
        <v>15</v>
      </c>
      <c r="C34" s="32" t="s">
        <v>95</v>
      </c>
      <c r="D34" s="32" t="s">
        <v>95</v>
      </c>
      <c r="E34" s="32" t="s">
        <v>81</v>
      </c>
      <c r="F34" s="32" t="s">
        <v>14</v>
      </c>
      <c r="G34" s="42" t="s">
        <v>86</v>
      </c>
      <c r="H34" s="32" t="s">
        <v>88</v>
      </c>
      <c r="I34" s="39">
        <v>74225.600000000006</v>
      </c>
      <c r="J34" s="39">
        <v>74191.100000000006</v>
      </c>
      <c r="K34" s="39">
        <v>4.79</v>
      </c>
      <c r="L34" s="39">
        <v>0.3</v>
      </c>
      <c r="M34" s="44">
        <v>0.14000000000000001</v>
      </c>
      <c r="N34" s="40">
        <v>-0.16</v>
      </c>
      <c r="O34" s="41">
        <v>-3.3799999999999997E-2</v>
      </c>
    </row>
    <row r="35" spans="2:18" ht="21.75" customHeight="1" x14ac:dyDescent="0.3">
      <c r="B35" s="37">
        <v>16</v>
      </c>
      <c r="C35" s="37" t="s">
        <v>95</v>
      </c>
      <c r="D35" s="37" t="s">
        <v>95</v>
      </c>
      <c r="E35" s="37" t="s">
        <v>81</v>
      </c>
      <c r="F35" s="37" t="s">
        <v>14</v>
      </c>
      <c r="G35" s="43" t="s">
        <v>83</v>
      </c>
      <c r="H35" s="37" t="s">
        <v>88</v>
      </c>
      <c r="I35" s="34">
        <v>73891.7</v>
      </c>
      <c r="J35" s="34">
        <v>74221.8</v>
      </c>
      <c r="K35" s="34">
        <v>4.7699999999999996</v>
      </c>
      <c r="L35" s="34">
        <v>0.3</v>
      </c>
      <c r="M35" s="35">
        <v>1.32</v>
      </c>
      <c r="N35" s="35">
        <v>1.02</v>
      </c>
      <c r="O35" s="36">
        <v>0.214</v>
      </c>
    </row>
    <row r="36" spans="2:18" ht="21.75" customHeight="1" x14ac:dyDescent="0.3">
      <c r="B36" s="32">
        <v>17</v>
      </c>
      <c r="C36" s="32" t="s">
        <v>87</v>
      </c>
      <c r="D36" s="32" t="s">
        <v>89</v>
      </c>
      <c r="E36" s="32" t="s">
        <v>96</v>
      </c>
      <c r="F36" s="32" t="s">
        <v>14</v>
      </c>
      <c r="G36" s="33" t="s">
        <v>83</v>
      </c>
      <c r="H36" s="32" t="s">
        <v>97</v>
      </c>
      <c r="I36" s="34">
        <v>69357.440000000002</v>
      </c>
      <c r="J36" s="34">
        <v>73375.679999999993</v>
      </c>
      <c r="K36" s="34">
        <v>500</v>
      </c>
      <c r="L36" s="34">
        <v>0.08</v>
      </c>
      <c r="M36" s="35">
        <v>28.97</v>
      </c>
      <c r="N36" s="35">
        <v>28.89</v>
      </c>
      <c r="O36" s="36">
        <v>5.7799999999999997E-2</v>
      </c>
    </row>
    <row r="37" spans="2:18" ht="21.75" customHeight="1" x14ac:dyDescent="0.3">
      <c r="B37" s="37">
        <v>18</v>
      </c>
      <c r="C37" s="37" t="s">
        <v>87</v>
      </c>
      <c r="D37" s="37" t="s">
        <v>89</v>
      </c>
      <c r="E37" s="37" t="s">
        <v>96</v>
      </c>
      <c r="F37" s="37" t="s">
        <v>98</v>
      </c>
      <c r="G37" s="43" t="s">
        <v>83</v>
      </c>
      <c r="H37" s="37" t="s">
        <v>97</v>
      </c>
      <c r="I37" s="34">
        <v>215.08</v>
      </c>
      <c r="J37" s="34">
        <v>219.51</v>
      </c>
      <c r="K37" s="34">
        <v>430.16</v>
      </c>
      <c r="L37" s="34">
        <v>0.62</v>
      </c>
      <c r="M37" s="35">
        <v>8.86</v>
      </c>
      <c r="N37" s="35">
        <v>8.24</v>
      </c>
      <c r="O37" s="36">
        <v>1.9199999999999998E-2</v>
      </c>
    </row>
    <row r="39" spans="2:18" ht="15" customHeight="1" x14ac:dyDescent="0.3">
      <c r="B39" s="13" t="s">
        <v>99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ht="15" customHeight="1" x14ac:dyDescent="0.3">
      <c r="B40" s="73" t="s">
        <v>13</v>
      </c>
      <c r="C40" s="73"/>
      <c r="D40" s="73" t="s">
        <v>100</v>
      </c>
      <c r="E40" s="73"/>
      <c r="F40" s="73" t="s">
        <v>56</v>
      </c>
      <c r="G40" s="73"/>
      <c r="H40" s="73" t="s">
        <v>101</v>
      </c>
      <c r="I40" s="73"/>
      <c r="J40" s="73" t="s">
        <v>60</v>
      </c>
      <c r="K40" s="73"/>
      <c r="L40" s="73" t="s">
        <v>102</v>
      </c>
      <c r="M40" s="73"/>
    </row>
    <row r="41" spans="2:18" ht="24" customHeight="1" x14ac:dyDescent="0.3">
      <c r="B41" s="74" t="s">
        <v>103</v>
      </c>
      <c r="C41" s="74"/>
      <c r="D41" s="74">
        <v>9</v>
      </c>
      <c r="E41" s="74"/>
      <c r="F41" s="74">
        <v>3</v>
      </c>
      <c r="G41" s="74"/>
      <c r="H41" s="75">
        <v>0.33300000000000002</v>
      </c>
      <c r="I41" s="75"/>
      <c r="J41" s="76">
        <v>-5.01</v>
      </c>
      <c r="K41" s="76"/>
      <c r="L41" s="77" t="s">
        <v>104</v>
      </c>
      <c r="M41" s="77"/>
    </row>
    <row r="42" spans="2:18" ht="24" customHeight="1" x14ac:dyDescent="0.3">
      <c r="B42" s="78" t="s">
        <v>105</v>
      </c>
      <c r="C42" s="78"/>
      <c r="D42" s="78">
        <v>4</v>
      </c>
      <c r="E42" s="78"/>
      <c r="F42" s="78">
        <v>2</v>
      </c>
      <c r="G42" s="78"/>
      <c r="H42" s="79">
        <v>0.5</v>
      </c>
      <c r="I42" s="79"/>
      <c r="J42" s="80">
        <v>2.5299999999999998</v>
      </c>
      <c r="K42" s="80"/>
      <c r="L42" s="81" t="s">
        <v>106</v>
      </c>
      <c r="M42" s="81"/>
    </row>
    <row r="43" spans="2:18" ht="24" customHeight="1" x14ac:dyDescent="0.3">
      <c r="B43" s="74" t="s">
        <v>107</v>
      </c>
      <c r="C43" s="74"/>
      <c r="D43" s="74">
        <v>1</v>
      </c>
      <c r="E43" s="74"/>
      <c r="F43" s="74">
        <v>0</v>
      </c>
      <c r="G43" s="74"/>
      <c r="H43" s="82">
        <v>0</v>
      </c>
      <c r="I43" s="82"/>
      <c r="J43" s="76">
        <v>-1.75</v>
      </c>
      <c r="K43" s="76"/>
      <c r="L43" s="77" t="s">
        <v>108</v>
      </c>
      <c r="M43" s="77"/>
    </row>
    <row r="44" spans="2:18" ht="24" customHeight="1" x14ac:dyDescent="0.3">
      <c r="B44" s="78" t="s">
        <v>109</v>
      </c>
      <c r="C44" s="78"/>
      <c r="D44" s="78">
        <v>1</v>
      </c>
      <c r="E44" s="78"/>
      <c r="F44" s="78">
        <v>0</v>
      </c>
      <c r="G44" s="78"/>
      <c r="H44" s="83">
        <v>0</v>
      </c>
      <c r="I44" s="83"/>
      <c r="J44" s="76">
        <v>-0.66</v>
      </c>
      <c r="K44" s="76"/>
      <c r="L44" s="81" t="s">
        <v>110</v>
      </c>
      <c r="M44" s="81"/>
    </row>
    <row r="45" spans="2:18" ht="24" customHeight="1" x14ac:dyDescent="0.3">
      <c r="B45" s="74" t="s">
        <v>111</v>
      </c>
      <c r="C45" s="74"/>
      <c r="D45" s="74">
        <v>1</v>
      </c>
      <c r="E45" s="74"/>
      <c r="F45" s="74">
        <v>0</v>
      </c>
      <c r="G45" s="74"/>
      <c r="H45" s="82">
        <v>0</v>
      </c>
      <c r="I45" s="82"/>
      <c r="J45" s="76">
        <v>-0.34</v>
      </c>
      <c r="K45" s="76"/>
      <c r="L45" s="77" t="s">
        <v>110</v>
      </c>
      <c r="M45" s="77"/>
    </row>
    <row r="46" spans="2:18" ht="24" customHeight="1" x14ac:dyDescent="0.3">
      <c r="B46" s="78" t="s">
        <v>112</v>
      </c>
      <c r="C46" s="78"/>
      <c r="D46" s="78">
        <v>1</v>
      </c>
      <c r="E46" s="78"/>
      <c r="F46" s="78">
        <v>1</v>
      </c>
      <c r="G46" s="78"/>
      <c r="H46" s="79">
        <v>1</v>
      </c>
      <c r="I46" s="79"/>
      <c r="J46" s="80">
        <v>28.89</v>
      </c>
      <c r="K46" s="80"/>
      <c r="L46" s="81" t="s">
        <v>113</v>
      </c>
      <c r="M46" s="81"/>
    </row>
    <row r="47" spans="2:18" ht="24" customHeight="1" x14ac:dyDescent="0.3">
      <c r="B47" s="74" t="s">
        <v>114</v>
      </c>
      <c r="C47" s="74"/>
      <c r="D47" s="74">
        <v>1</v>
      </c>
      <c r="E47" s="74"/>
      <c r="F47" s="74">
        <v>1</v>
      </c>
      <c r="G47" s="74"/>
      <c r="H47" s="84">
        <v>1</v>
      </c>
      <c r="I47" s="84"/>
      <c r="J47" s="80">
        <v>8.24</v>
      </c>
      <c r="K47" s="80"/>
      <c r="L47" s="77" t="s">
        <v>115</v>
      </c>
      <c r="M47" s="77"/>
    </row>
  </sheetData>
  <mergeCells count="96">
    <mergeCell ref="L47:M47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B45:C45"/>
    <mergeCell ref="D45:E45"/>
    <mergeCell ref="F45:G45"/>
    <mergeCell ref="H45:I45"/>
    <mergeCell ref="J45:K45"/>
    <mergeCell ref="L43:M43"/>
    <mergeCell ref="B44:C44"/>
    <mergeCell ref="D44:E44"/>
    <mergeCell ref="F44:G44"/>
    <mergeCell ref="H44:I44"/>
    <mergeCell ref="J44:K44"/>
    <mergeCell ref="L44:M44"/>
    <mergeCell ref="B43:C43"/>
    <mergeCell ref="D43:E43"/>
    <mergeCell ref="F43:G43"/>
    <mergeCell ref="H43:I43"/>
    <mergeCell ref="J43:K43"/>
    <mergeCell ref="L41:M41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B18:R18"/>
    <mergeCell ref="B39:R39"/>
    <mergeCell ref="B40:C40"/>
    <mergeCell ref="D40:E40"/>
    <mergeCell ref="F40:G40"/>
    <mergeCell ref="H40:I40"/>
    <mergeCell ref="J40:K40"/>
    <mergeCell ref="L40:M40"/>
    <mergeCell ref="B14:D14"/>
    <mergeCell ref="E14:G14"/>
    <mergeCell ref="H14:J14"/>
    <mergeCell ref="K14:M14"/>
    <mergeCell ref="B15:D15"/>
    <mergeCell ref="E15:G15"/>
    <mergeCell ref="H15:J15"/>
    <mergeCell ref="K15:M15"/>
    <mergeCell ref="B12:D12"/>
    <mergeCell ref="E12:G12"/>
    <mergeCell ref="H12:J12"/>
    <mergeCell ref="K12:M12"/>
    <mergeCell ref="B13:D13"/>
    <mergeCell ref="E13:G13"/>
    <mergeCell ref="H13:J13"/>
    <mergeCell ref="K13:M13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B2:R2"/>
    <mergeCell ref="B4:R4"/>
    <mergeCell ref="B5:D5"/>
    <mergeCell ref="E5:G5"/>
    <mergeCell ref="H5:J5"/>
    <mergeCell ref="K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6"/>
  <sheetViews>
    <sheetView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28" customWidth="1"/>
    <col min="3" max="6" width="20" customWidth="1"/>
    <col min="7" max="7" width="3" customWidth="1"/>
  </cols>
  <sheetData>
    <row r="2" spans="2:6" ht="37.5" customHeight="1" x14ac:dyDescent="0.3">
      <c r="B2" s="9" t="s">
        <v>116</v>
      </c>
      <c r="C2" s="9"/>
      <c r="D2" s="9"/>
      <c r="E2" s="9"/>
      <c r="F2" s="9"/>
    </row>
    <row r="4" spans="2:6" ht="36" customHeight="1" x14ac:dyDescent="0.3">
      <c r="B4" s="45" t="s">
        <v>117</v>
      </c>
      <c r="C4" s="46" t="s">
        <v>118</v>
      </c>
      <c r="D4" s="47" t="s">
        <v>119</v>
      </c>
      <c r="E4" s="48" t="s">
        <v>120</v>
      </c>
      <c r="F4" s="49" t="s">
        <v>121</v>
      </c>
    </row>
    <row r="5" spans="2:6" ht="25.5" customHeight="1" x14ac:dyDescent="0.3">
      <c r="B5" s="30" t="s">
        <v>2</v>
      </c>
      <c r="C5" s="50">
        <v>250</v>
      </c>
      <c r="D5" s="51">
        <v>250</v>
      </c>
      <c r="E5" s="52">
        <v>250</v>
      </c>
      <c r="F5" s="53">
        <v>250</v>
      </c>
    </row>
    <row r="6" spans="2:6" ht="25.5" customHeight="1" x14ac:dyDescent="0.3">
      <c r="B6" s="23" t="s">
        <v>44</v>
      </c>
      <c r="C6" s="54">
        <v>62</v>
      </c>
      <c r="D6" s="55">
        <v>10</v>
      </c>
      <c r="E6" s="56">
        <v>10</v>
      </c>
      <c r="F6" s="57">
        <v>10</v>
      </c>
    </row>
    <row r="7" spans="2:6" ht="25.5" customHeight="1" x14ac:dyDescent="0.3">
      <c r="B7" s="30" t="s">
        <v>122</v>
      </c>
      <c r="C7" s="58">
        <v>0.02</v>
      </c>
      <c r="D7" s="59">
        <v>0.01</v>
      </c>
      <c r="E7" s="60">
        <v>1.4999999999999999E-2</v>
      </c>
      <c r="F7" s="61">
        <v>0.02</v>
      </c>
    </row>
    <row r="8" spans="2:6" ht="25.5" customHeight="1" x14ac:dyDescent="0.3">
      <c r="B8" s="23" t="s">
        <v>6</v>
      </c>
      <c r="C8" s="58">
        <v>1.6E-2</v>
      </c>
      <c r="D8" s="59">
        <v>1.4999999999999999E-2</v>
      </c>
      <c r="E8" s="60">
        <v>1.4999999999999999E-2</v>
      </c>
      <c r="F8" s="61">
        <v>1.4999999999999999E-2</v>
      </c>
    </row>
    <row r="9" spans="2:6" ht="25.5" customHeight="1" x14ac:dyDescent="0.3">
      <c r="B9" s="30" t="s">
        <v>123</v>
      </c>
      <c r="C9" s="50">
        <v>5</v>
      </c>
      <c r="D9" s="51">
        <v>16.670000000000002</v>
      </c>
      <c r="E9" s="52">
        <v>25</v>
      </c>
      <c r="F9" s="53">
        <v>33.33</v>
      </c>
    </row>
    <row r="10" spans="2:6" ht="25.5" customHeight="1" x14ac:dyDescent="0.3">
      <c r="B10" s="23" t="s">
        <v>19</v>
      </c>
      <c r="C10" s="50">
        <v>5</v>
      </c>
      <c r="D10" s="51">
        <v>2.5</v>
      </c>
      <c r="E10" s="52">
        <v>3.75</v>
      </c>
      <c r="F10" s="53">
        <v>5</v>
      </c>
    </row>
    <row r="11" spans="2:6" ht="25.5" customHeight="1" x14ac:dyDescent="0.3">
      <c r="B11" s="30" t="s">
        <v>23</v>
      </c>
      <c r="C11" s="50">
        <v>310</v>
      </c>
      <c r="D11" s="51">
        <v>167</v>
      </c>
      <c r="E11" s="52">
        <v>250</v>
      </c>
      <c r="F11" s="53">
        <v>333</v>
      </c>
    </row>
    <row r="12" spans="2:6" ht="25.5" customHeight="1" x14ac:dyDescent="0.3">
      <c r="B12" s="23" t="s">
        <v>124</v>
      </c>
      <c r="C12" s="50">
        <v>0.31</v>
      </c>
      <c r="D12" s="51">
        <v>0.17</v>
      </c>
      <c r="E12" s="52">
        <v>0.25</v>
      </c>
      <c r="F12" s="53">
        <v>0.33</v>
      </c>
    </row>
    <row r="13" spans="2:6" ht="25.5" customHeight="1" x14ac:dyDescent="0.3">
      <c r="B13" s="30" t="s">
        <v>125</v>
      </c>
      <c r="C13" s="62">
        <v>6.2E-2</v>
      </c>
      <c r="D13" s="63">
        <v>0.01</v>
      </c>
      <c r="E13" s="64">
        <v>0.01</v>
      </c>
      <c r="F13" s="65">
        <v>0.01</v>
      </c>
    </row>
    <row r="14" spans="2:6" ht="25.5" customHeight="1" x14ac:dyDescent="0.3">
      <c r="B14" s="23" t="s">
        <v>126</v>
      </c>
      <c r="C14" s="50">
        <v>1.69</v>
      </c>
      <c r="D14" s="51">
        <v>2.33</v>
      </c>
      <c r="E14" s="52">
        <v>3.5</v>
      </c>
      <c r="F14" s="53">
        <v>4.67</v>
      </c>
    </row>
    <row r="15" spans="2:6" ht="25.5" customHeight="1" x14ac:dyDescent="0.3">
      <c r="B15" s="30" t="s">
        <v>127</v>
      </c>
      <c r="C15" s="62">
        <v>1.6E-2</v>
      </c>
      <c r="D15" s="63">
        <v>0.1</v>
      </c>
      <c r="E15" s="64">
        <v>0.1</v>
      </c>
      <c r="F15" s="65">
        <v>0.1</v>
      </c>
    </row>
    <row r="16" spans="2:6" ht="25.5" customHeight="1" x14ac:dyDescent="0.3">
      <c r="B16" s="23" t="s">
        <v>128</v>
      </c>
      <c r="C16" s="66">
        <v>5</v>
      </c>
      <c r="D16" s="67">
        <v>10</v>
      </c>
      <c r="E16" s="68">
        <v>7</v>
      </c>
      <c r="F16" s="69">
        <v>5</v>
      </c>
    </row>
    <row r="17" spans="2:6" ht="25.5" customHeight="1" x14ac:dyDescent="0.3">
      <c r="B17" s="30" t="s">
        <v>129</v>
      </c>
      <c r="C17" s="58">
        <v>0.4</v>
      </c>
      <c r="D17" s="59">
        <v>0.34</v>
      </c>
      <c r="E17" s="60">
        <v>0.34</v>
      </c>
      <c r="F17" s="61">
        <v>0.34</v>
      </c>
    </row>
    <row r="20" spans="2:6" ht="24" customHeight="1" x14ac:dyDescent="0.3">
      <c r="B20" s="12" t="s">
        <v>130</v>
      </c>
      <c r="C20" s="12"/>
      <c r="D20" s="12"/>
      <c r="E20" s="12"/>
      <c r="F20" s="12"/>
    </row>
    <row r="21" spans="2:6" ht="25.5" customHeight="1" x14ac:dyDescent="0.3">
      <c r="B21" s="85" t="s">
        <v>131</v>
      </c>
      <c r="C21" s="85"/>
      <c r="D21" s="85"/>
      <c r="E21" s="85"/>
      <c r="F21" s="85"/>
    </row>
    <row r="22" spans="2:6" ht="25.5" customHeight="1" x14ac:dyDescent="0.3">
      <c r="B22" s="86" t="s">
        <v>132</v>
      </c>
      <c r="C22" s="86"/>
      <c r="D22" s="86"/>
      <c r="E22" s="86"/>
      <c r="F22" s="86"/>
    </row>
    <row r="23" spans="2:6" ht="25.5" customHeight="1" x14ac:dyDescent="0.3">
      <c r="B23" s="87" t="s">
        <v>133</v>
      </c>
      <c r="C23" s="87"/>
      <c r="D23" s="87"/>
      <c r="E23" s="87"/>
      <c r="F23" s="87"/>
    </row>
    <row r="24" spans="2:6" ht="25.5" customHeight="1" x14ac:dyDescent="0.3">
      <c r="B24" s="86" t="s">
        <v>134</v>
      </c>
      <c r="C24" s="86"/>
      <c r="D24" s="86"/>
      <c r="E24" s="86"/>
      <c r="F24" s="86"/>
    </row>
    <row r="25" spans="2:6" ht="25.5" customHeight="1" x14ac:dyDescent="0.3">
      <c r="B25" s="87" t="s">
        <v>135</v>
      </c>
      <c r="C25" s="87"/>
      <c r="D25" s="87"/>
      <c r="E25" s="87"/>
      <c r="F25" s="87"/>
    </row>
    <row r="26" spans="2:6" ht="25.5" customHeight="1" x14ac:dyDescent="0.3">
      <c r="B26" s="86" t="s">
        <v>136</v>
      </c>
      <c r="C26" s="86"/>
      <c r="D26" s="86"/>
      <c r="E26" s="86"/>
      <c r="F26" s="86"/>
    </row>
  </sheetData>
  <mergeCells count="8">
    <mergeCell ref="B24:F24"/>
    <mergeCell ref="B25:F25"/>
    <mergeCell ref="B26:F26"/>
    <mergeCell ref="B2:F2"/>
    <mergeCell ref="B20:F20"/>
    <mergeCell ref="B21:F21"/>
    <mergeCell ref="B22:F22"/>
    <mergeCell ref="B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5903-EB4F-4DFC-93BC-B98C1B0F93AF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📐 Calculadora</vt:lpstr>
      <vt:lpstr>📊 Análisis Operativa</vt:lpstr>
      <vt:lpstr>🔬 Escenarios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Ballesteros</cp:lastModifiedBy>
  <cp:revision>0</cp:revision>
  <dcterms:created xsi:type="dcterms:W3CDTF">2026-03-17T16:40:03Z</dcterms:created>
  <dcterms:modified xsi:type="dcterms:W3CDTF">2026-03-23T15:41:21Z</dcterms:modified>
  <dc:language>en-US</dc:language>
</cp:coreProperties>
</file>